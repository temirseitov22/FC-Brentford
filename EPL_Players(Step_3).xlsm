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507"/>
  <workbookPr defaultThemeVersion="166925"/>
  <mc:AlternateContent xmlns:mc="http://schemas.openxmlformats.org/markup-compatibility/2006">
    <mc:Choice Requires="x15">
      <x15ac:absPath xmlns:x15ac="http://schemas.microsoft.com/office/spreadsheetml/2010/11/ac" url="/Users/leilaizmailova/Downloads/EPL_python/"/>
    </mc:Choice>
  </mc:AlternateContent>
  <xr:revisionPtr revIDLastSave="0" documentId="13_ncr:1_{F7198C5E-3754-F447-A625-0C8EC4A80C15}" xr6:coauthVersionLast="47" xr6:coauthVersionMax="47" xr10:uidLastSave="{00000000-0000-0000-0000-000000000000}"/>
  <bookViews>
    <workbookView xWindow="0" yWindow="500" windowWidth="28800" windowHeight="16140" xr2:uid="{ACCB8D39-07A7-4F47-B59C-A1D6F6E3EB45}"/>
  </bookViews>
  <sheets>
    <sheet name="GK" sheetId="2" r:id="rId1"/>
    <sheet name="Def" sheetId="3" r:id="rId2"/>
    <sheet name="Mid" sheetId="4" r:id="rId3"/>
    <sheet name="Attack" sheetId="5" r:id="rId4"/>
    <sheet name="Subs" sheetId="6" r:id="rId5"/>
    <sheet name="Wage" sheetId="7" r:id="rId6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E525" i="7" l="1"/>
  <c r="E512" i="7"/>
  <c r="E511" i="7"/>
  <c r="E500" i="7"/>
  <c r="E473" i="7"/>
  <c r="E464" i="7"/>
  <c r="E463" i="7"/>
  <c r="E453" i="7"/>
  <c r="E431" i="7"/>
  <c r="E422" i="7"/>
  <c r="E421" i="7"/>
  <c r="E409" i="7"/>
  <c r="E389" i="7"/>
  <c r="E380" i="7"/>
  <c r="E377" i="7"/>
  <c r="E367" i="7"/>
  <c r="E345" i="7"/>
  <c r="E336" i="7"/>
  <c r="E335" i="7"/>
  <c r="E325" i="7"/>
  <c r="E303" i="7"/>
  <c r="E294" i="7"/>
  <c r="E293" i="7"/>
  <c r="E282" i="7"/>
  <c r="E264" i="7"/>
  <c r="E256" i="7"/>
  <c r="E255" i="7"/>
  <c r="E246" i="7"/>
  <c r="E228" i="7"/>
  <c r="E220" i="7"/>
  <c r="E218" i="7"/>
  <c r="E209" i="7"/>
  <c r="E191" i="7"/>
  <c r="E183" i="7"/>
  <c r="E182" i="7"/>
  <c r="E173" i="7"/>
  <c r="E154" i="7"/>
  <c r="E146" i="7"/>
  <c r="E145" i="7"/>
  <c r="E136" i="7"/>
  <c r="E118" i="7"/>
  <c r="E110" i="7"/>
  <c r="E109" i="7"/>
  <c r="E100" i="7"/>
  <c r="E81" i="7"/>
  <c r="E73" i="7"/>
  <c r="E72" i="7"/>
  <c r="E63" i="7"/>
  <c r="E45" i="7"/>
  <c r="E37" i="7"/>
  <c r="E36" i="7"/>
  <c r="E26" i="7"/>
  <c r="G16" i="7"/>
  <c r="E540" i="7" s="1"/>
  <c r="E10" i="7"/>
  <c r="H9" i="7"/>
  <c r="E9" i="7"/>
  <c r="H8" i="7"/>
  <c r="H7" i="7"/>
  <c r="H6" i="7"/>
  <c r="H5" i="7"/>
  <c r="E5" i="7"/>
  <c r="H4" i="7"/>
  <c r="H3" i="7"/>
  <c r="E2" i="7"/>
  <c r="G692" i="6"/>
  <c r="H692" i="6" s="1"/>
  <c r="G691" i="6"/>
  <c r="H691" i="6" s="1"/>
  <c r="G690" i="6"/>
  <c r="H690" i="6" s="1"/>
  <c r="G689" i="6"/>
  <c r="H689" i="6" s="1"/>
  <c r="G688" i="6"/>
  <c r="H688" i="6" s="1"/>
  <c r="G687" i="6"/>
  <c r="H687" i="6" s="1"/>
  <c r="H686" i="6"/>
  <c r="G686" i="6"/>
  <c r="G685" i="6"/>
  <c r="H685" i="6" s="1"/>
  <c r="G684" i="6"/>
  <c r="H684" i="6" s="1"/>
  <c r="G683" i="6"/>
  <c r="H683" i="6" s="1"/>
  <c r="G682" i="6"/>
  <c r="H682" i="6" s="1"/>
  <c r="G681" i="6"/>
  <c r="H681" i="6" s="1"/>
  <c r="G680" i="6"/>
  <c r="H680" i="6" s="1"/>
  <c r="G679" i="6"/>
  <c r="H679" i="6" s="1"/>
  <c r="G678" i="6"/>
  <c r="H678" i="6" s="1"/>
  <c r="G677" i="6"/>
  <c r="H677" i="6" s="1"/>
  <c r="H676" i="6"/>
  <c r="G676" i="6"/>
  <c r="H675" i="6"/>
  <c r="G675" i="6"/>
  <c r="G674" i="6"/>
  <c r="H674" i="6" s="1"/>
  <c r="G673" i="6"/>
  <c r="H673" i="6" s="1"/>
  <c r="G672" i="6"/>
  <c r="H672" i="6" s="1"/>
  <c r="G671" i="6"/>
  <c r="H671" i="6" s="1"/>
  <c r="G670" i="6"/>
  <c r="H670" i="6" s="1"/>
  <c r="G669" i="6"/>
  <c r="H669" i="6" s="1"/>
  <c r="G668" i="6"/>
  <c r="H668" i="6" s="1"/>
  <c r="G667" i="6"/>
  <c r="H667" i="6" s="1"/>
  <c r="H666" i="6"/>
  <c r="G666" i="6"/>
  <c r="G665" i="6"/>
  <c r="H665" i="6" s="1"/>
  <c r="G664" i="6"/>
  <c r="H664" i="6" s="1"/>
  <c r="G663" i="6"/>
  <c r="H663" i="6" s="1"/>
  <c r="G662" i="6"/>
  <c r="H662" i="6" s="1"/>
  <c r="G661" i="6"/>
  <c r="H661" i="6" s="1"/>
  <c r="H660" i="6"/>
  <c r="G660" i="6"/>
  <c r="H659" i="6"/>
  <c r="G659" i="6"/>
  <c r="G658" i="6"/>
  <c r="H658" i="6" s="1"/>
  <c r="G657" i="6"/>
  <c r="H657" i="6" s="1"/>
  <c r="G656" i="6"/>
  <c r="H656" i="6" s="1"/>
  <c r="G655" i="6"/>
  <c r="H655" i="6" s="1"/>
  <c r="G654" i="6"/>
  <c r="H654" i="6" s="1"/>
  <c r="G653" i="6"/>
  <c r="H653" i="6" s="1"/>
  <c r="G652" i="6"/>
  <c r="H652" i="6" s="1"/>
  <c r="G651" i="6"/>
  <c r="H651" i="6" s="1"/>
  <c r="H650" i="6"/>
  <c r="G650" i="6"/>
  <c r="G649" i="6"/>
  <c r="H649" i="6" s="1"/>
  <c r="G648" i="6"/>
  <c r="H648" i="6" s="1"/>
  <c r="G647" i="6"/>
  <c r="H647" i="6" s="1"/>
  <c r="G646" i="6"/>
  <c r="H646" i="6" s="1"/>
  <c r="G645" i="6"/>
  <c r="H645" i="6" s="1"/>
  <c r="H644" i="6"/>
  <c r="G644" i="6"/>
  <c r="G643" i="6"/>
  <c r="H643" i="6" s="1"/>
  <c r="G642" i="6"/>
  <c r="H642" i="6" s="1"/>
  <c r="G641" i="6"/>
  <c r="H641" i="6" s="1"/>
  <c r="G640" i="6"/>
  <c r="H640" i="6" s="1"/>
  <c r="G639" i="6"/>
  <c r="H639" i="6" s="1"/>
  <c r="G638" i="6"/>
  <c r="H638" i="6" s="1"/>
  <c r="G637" i="6"/>
  <c r="H637" i="6" s="1"/>
  <c r="G636" i="6"/>
  <c r="H636" i="6" s="1"/>
  <c r="G635" i="6"/>
  <c r="H635" i="6" s="1"/>
  <c r="G634" i="6"/>
  <c r="H634" i="6" s="1"/>
  <c r="G633" i="6"/>
  <c r="H633" i="6" s="1"/>
  <c r="G632" i="6"/>
  <c r="H632" i="6" s="1"/>
  <c r="G631" i="6"/>
  <c r="H631" i="6" s="1"/>
  <c r="G630" i="6"/>
  <c r="H630" i="6" s="1"/>
  <c r="G629" i="6"/>
  <c r="H629" i="6" s="1"/>
  <c r="G628" i="6"/>
  <c r="H628" i="6" s="1"/>
  <c r="G627" i="6"/>
  <c r="H627" i="6" s="1"/>
  <c r="G626" i="6"/>
  <c r="H626" i="6" s="1"/>
  <c r="G625" i="6"/>
  <c r="H625" i="6" s="1"/>
  <c r="G624" i="6"/>
  <c r="H624" i="6" s="1"/>
  <c r="G623" i="6"/>
  <c r="H623" i="6" s="1"/>
  <c r="G622" i="6"/>
  <c r="H622" i="6" s="1"/>
  <c r="G621" i="6"/>
  <c r="H621" i="6" s="1"/>
  <c r="G620" i="6"/>
  <c r="H620" i="6" s="1"/>
  <c r="G619" i="6"/>
  <c r="H619" i="6" s="1"/>
  <c r="G618" i="6"/>
  <c r="H618" i="6" s="1"/>
  <c r="G617" i="6"/>
  <c r="H617" i="6" s="1"/>
  <c r="G616" i="6"/>
  <c r="H616" i="6" s="1"/>
  <c r="G615" i="6"/>
  <c r="H615" i="6" s="1"/>
  <c r="G614" i="6"/>
  <c r="H614" i="6" s="1"/>
  <c r="G613" i="6"/>
  <c r="H613" i="6" s="1"/>
  <c r="G612" i="6"/>
  <c r="H612" i="6" s="1"/>
  <c r="G611" i="6"/>
  <c r="H611" i="6" s="1"/>
  <c r="G610" i="6"/>
  <c r="H610" i="6" s="1"/>
  <c r="G609" i="6"/>
  <c r="H609" i="6" s="1"/>
  <c r="G608" i="6"/>
  <c r="H608" i="6" s="1"/>
  <c r="G607" i="6"/>
  <c r="H607" i="6" s="1"/>
  <c r="G606" i="6"/>
  <c r="H606" i="6" s="1"/>
  <c r="G605" i="6"/>
  <c r="H605" i="6" s="1"/>
  <c r="G604" i="6"/>
  <c r="H604" i="6" s="1"/>
  <c r="G603" i="6"/>
  <c r="H603" i="6" s="1"/>
  <c r="G602" i="6"/>
  <c r="H602" i="6" s="1"/>
  <c r="G601" i="6"/>
  <c r="H601" i="6" s="1"/>
  <c r="G600" i="6"/>
  <c r="H600" i="6" s="1"/>
  <c r="G599" i="6"/>
  <c r="H599" i="6" s="1"/>
  <c r="G598" i="6"/>
  <c r="H598" i="6" s="1"/>
  <c r="G597" i="6"/>
  <c r="H597" i="6" s="1"/>
  <c r="G596" i="6"/>
  <c r="H596" i="6" s="1"/>
  <c r="G595" i="6"/>
  <c r="H595" i="6" s="1"/>
  <c r="G594" i="6"/>
  <c r="H594" i="6" s="1"/>
  <c r="G593" i="6"/>
  <c r="H593" i="6" s="1"/>
  <c r="G592" i="6"/>
  <c r="H592" i="6" s="1"/>
  <c r="G591" i="6"/>
  <c r="H591" i="6" s="1"/>
  <c r="G590" i="6"/>
  <c r="H590" i="6" s="1"/>
  <c r="G589" i="6"/>
  <c r="H589" i="6" s="1"/>
  <c r="G588" i="6"/>
  <c r="H588" i="6" s="1"/>
  <c r="G587" i="6"/>
  <c r="H587" i="6" s="1"/>
  <c r="G586" i="6"/>
  <c r="H586" i="6" s="1"/>
  <c r="G585" i="6"/>
  <c r="H585" i="6" s="1"/>
  <c r="G584" i="6"/>
  <c r="H584" i="6" s="1"/>
  <c r="G583" i="6"/>
  <c r="H583" i="6" s="1"/>
  <c r="G582" i="6"/>
  <c r="H582" i="6" s="1"/>
  <c r="G581" i="6"/>
  <c r="H581" i="6" s="1"/>
  <c r="G580" i="6"/>
  <c r="H580" i="6" s="1"/>
  <c r="G579" i="6"/>
  <c r="H579" i="6" s="1"/>
  <c r="G578" i="6"/>
  <c r="H578" i="6" s="1"/>
  <c r="G577" i="6"/>
  <c r="H577" i="6" s="1"/>
  <c r="G576" i="6"/>
  <c r="H576" i="6" s="1"/>
  <c r="G575" i="6"/>
  <c r="H575" i="6" s="1"/>
  <c r="G574" i="6"/>
  <c r="H574" i="6" s="1"/>
  <c r="G573" i="6"/>
  <c r="H573" i="6" s="1"/>
  <c r="G572" i="6"/>
  <c r="H572" i="6" s="1"/>
  <c r="G571" i="6"/>
  <c r="H571" i="6" s="1"/>
  <c r="G570" i="6"/>
  <c r="H570" i="6" s="1"/>
  <c r="G569" i="6"/>
  <c r="H569" i="6" s="1"/>
  <c r="G568" i="6"/>
  <c r="H568" i="6" s="1"/>
  <c r="G567" i="6"/>
  <c r="H567" i="6" s="1"/>
  <c r="G566" i="6"/>
  <c r="H566" i="6" s="1"/>
  <c r="G565" i="6"/>
  <c r="H565" i="6" s="1"/>
  <c r="G564" i="6"/>
  <c r="H564" i="6" s="1"/>
  <c r="G563" i="6"/>
  <c r="H563" i="6" s="1"/>
  <c r="G562" i="6"/>
  <c r="H562" i="6" s="1"/>
  <c r="G561" i="6"/>
  <c r="H561" i="6" s="1"/>
  <c r="G560" i="6"/>
  <c r="H560" i="6" s="1"/>
  <c r="G559" i="6"/>
  <c r="H559" i="6" s="1"/>
  <c r="G558" i="6"/>
  <c r="H558" i="6" s="1"/>
  <c r="G557" i="6"/>
  <c r="H557" i="6" s="1"/>
  <c r="G556" i="6"/>
  <c r="H556" i="6" s="1"/>
  <c r="G555" i="6"/>
  <c r="H555" i="6" s="1"/>
  <c r="G554" i="6"/>
  <c r="H554" i="6" s="1"/>
  <c r="G553" i="6"/>
  <c r="H553" i="6" s="1"/>
  <c r="G552" i="6"/>
  <c r="H552" i="6" s="1"/>
  <c r="G551" i="6"/>
  <c r="H551" i="6" s="1"/>
  <c r="G550" i="6"/>
  <c r="H550" i="6" s="1"/>
  <c r="G549" i="6"/>
  <c r="H549" i="6" s="1"/>
  <c r="G548" i="6"/>
  <c r="H548" i="6" s="1"/>
  <c r="G547" i="6"/>
  <c r="H547" i="6" s="1"/>
  <c r="G546" i="6"/>
  <c r="H546" i="6" s="1"/>
  <c r="G545" i="6"/>
  <c r="H545" i="6" s="1"/>
  <c r="G544" i="6"/>
  <c r="H544" i="6" s="1"/>
  <c r="G543" i="6"/>
  <c r="H543" i="6" s="1"/>
  <c r="G542" i="6"/>
  <c r="H542" i="6" s="1"/>
  <c r="G541" i="6"/>
  <c r="H541" i="6" s="1"/>
  <c r="G540" i="6"/>
  <c r="H540" i="6" s="1"/>
  <c r="G539" i="6"/>
  <c r="H539" i="6" s="1"/>
  <c r="G538" i="6"/>
  <c r="H538" i="6" s="1"/>
  <c r="G537" i="6"/>
  <c r="H537" i="6" s="1"/>
  <c r="G536" i="6"/>
  <c r="H536" i="6" s="1"/>
  <c r="G535" i="6"/>
  <c r="H535" i="6" s="1"/>
  <c r="G534" i="6"/>
  <c r="H534" i="6" s="1"/>
  <c r="G533" i="6"/>
  <c r="H533" i="6" s="1"/>
  <c r="G532" i="6"/>
  <c r="H532" i="6" s="1"/>
  <c r="G531" i="6"/>
  <c r="H531" i="6" s="1"/>
  <c r="G530" i="6"/>
  <c r="H530" i="6" s="1"/>
  <c r="G529" i="6"/>
  <c r="H529" i="6" s="1"/>
  <c r="G528" i="6"/>
  <c r="H528" i="6" s="1"/>
  <c r="G527" i="6"/>
  <c r="H527" i="6" s="1"/>
  <c r="G526" i="6"/>
  <c r="H526" i="6" s="1"/>
  <c r="G525" i="6"/>
  <c r="H525" i="6" s="1"/>
  <c r="G524" i="6"/>
  <c r="H524" i="6" s="1"/>
  <c r="G523" i="6"/>
  <c r="H523" i="6" s="1"/>
  <c r="G522" i="6"/>
  <c r="H522" i="6" s="1"/>
  <c r="G521" i="6"/>
  <c r="H521" i="6" s="1"/>
  <c r="G520" i="6"/>
  <c r="H520" i="6" s="1"/>
  <c r="G519" i="6"/>
  <c r="H519" i="6" s="1"/>
  <c r="G518" i="6"/>
  <c r="H518" i="6" s="1"/>
  <c r="G517" i="6"/>
  <c r="H517" i="6" s="1"/>
  <c r="G516" i="6"/>
  <c r="H516" i="6" s="1"/>
  <c r="G515" i="6"/>
  <c r="H515" i="6" s="1"/>
  <c r="G514" i="6"/>
  <c r="H514" i="6" s="1"/>
  <c r="G513" i="6"/>
  <c r="H513" i="6" s="1"/>
  <c r="G512" i="6"/>
  <c r="H512" i="6" s="1"/>
  <c r="G511" i="6"/>
  <c r="H511" i="6" s="1"/>
  <c r="G510" i="6"/>
  <c r="H510" i="6" s="1"/>
  <c r="G509" i="6"/>
  <c r="H509" i="6" s="1"/>
  <c r="G508" i="6"/>
  <c r="H508" i="6" s="1"/>
  <c r="G507" i="6"/>
  <c r="H507" i="6" s="1"/>
  <c r="G506" i="6"/>
  <c r="H506" i="6" s="1"/>
  <c r="G505" i="6"/>
  <c r="H505" i="6" s="1"/>
  <c r="G504" i="6"/>
  <c r="H504" i="6" s="1"/>
  <c r="G503" i="6"/>
  <c r="H503" i="6" s="1"/>
  <c r="G502" i="6"/>
  <c r="H502" i="6" s="1"/>
  <c r="G501" i="6"/>
  <c r="H501" i="6" s="1"/>
  <c r="G500" i="6"/>
  <c r="H500" i="6" s="1"/>
  <c r="G499" i="6"/>
  <c r="H499" i="6" s="1"/>
  <c r="G498" i="6"/>
  <c r="H498" i="6" s="1"/>
  <c r="G497" i="6"/>
  <c r="H497" i="6" s="1"/>
  <c r="G496" i="6"/>
  <c r="H496" i="6" s="1"/>
  <c r="G495" i="6"/>
  <c r="H495" i="6" s="1"/>
  <c r="G494" i="6"/>
  <c r="H494" i="6" s="1"/>
  <c r="G493" i="6"/>
  <c r="H493" i="6" s="1"/>
  <c r="G492" i="6"/>
  <c r="H492" i="6" s="1"/>
  <c r="G491" i="6"/>
  <c r="H491" i="6" s="1"/>
  <c r="G490" i="6"/>
  <c r="H490" i="6" s="1"/>
  <c r="G489" i="6"/>
  <c r="H489" i="6" s="1"/>
  <c r="G488" i="6"/>
  <c r="H488" i="6" s="1"/>
  <c r="G487" i="6"/>
  <c r="H487" i="6" s="1"/>
  <c r="G486" i="6"/>
  <c r="H486" i="6" s="1"/>
  <c r="G485" i="6"/>
  <c r="H485" i="6" s="1"/>
  <c r="G484" i="6"/>
  <c r="H484" i="6" s="1"/>
  <c r="G483" i="6"/>
  <c r="H483" i="6" s="1"/>
  <c r="G482" i="6"/>
  <c r="H482" i="6" s="1"/>
  <c r="G481" i="6"/>
  <c r="H481" i="6" s="1"/>
  <c r="G480" i="6"/>
  <c r="H480" i="6" s="1"/>
  <c r="G479" i="6"/>
  <c r="H479" i="6" s="1"/>
  <c r="G478" i="6"/>
  <c r="H478" i="6" s="1"/>
  <c r="G477" i="6"/>
  <c r="H477" i="6" s="1"/>
  <c r="G476" i="6"/>
  <c r="H476" i="6" s="1"/>
  <c r="G475" i="6"/>
  <c r="H475" i="6" s="1"/>
  <c r="G474" i="6"/>
  <c r="H474" i="6" s="1"/>
  <c r="G473" i="6"/>
  <c r="H473" i="6" s="1"/>
  <c r="G472" i="6"/>
  <c r="H472" i="6" s="1"/>
  <c r="G471" i="6"/>
  <c r="H471" i="6" s="1"/>
  <c r="G470" i="6"/>
  <c r="H470" i="6" s="1"/>
  <c r="G469" i="6"/>
  <c r="H469" i="6" s="1"/>
  <c r="G468" i="6"/>
  <c r="H468" i="6" s="1"/>
  <c r="G467" i="6"/>
  <c r="H467" i="6" s="1"/>
  <c r="G466" i="6"/>
  <c r="H466" i="6" s="1"/>
  <c r="G465" i="6"/>
  <c r="H465" i="6" s="1"/>
  <c r="G464" i="6"/>
  <c r="H464" i="6" s="1"/>
  <c r="G463" i="6"/>
  <c r="H463" i="6" s="1"/>
  <c r="G462" i="6"/>
  <c r="H462" i="6" s="1"/>
  <c r="G461" i="6"/>
  <c r="H461" i="6" s="1"/>
  <c r="G460" i="6"/>
  <c r="H460" i="6" s="1"/>
  <c r="G459" i="6"/>
  <c r="H459" i="6" s="1"/>
  <c r="G458" i="6"/>
  <c r="H458" i="6" s="1"/>
  <c r="G457" i="6"/>
  <c r="H457" i="6" s="1"/>
  <c r="G456" i="6"/>
  <c r="H456" i="6" s="1"/>
  <c r="G455" i="6"/>
  <c r="H455" i="6" s="1"/>
  <c r="G454" i="6"/>
  <c r="H454" i="6" s="1"/>
  <c r="G453" i="6"/>
  <c r="H453" i="6" s="1"/>
  <c r="G452" i="6"/>
  <c r="H452" i="6" s="1"/>
  <c r="G451" i="6"/>
  <c r="H451" i="6" s="1"/>
  <c r="G450" i="6"/>
  <c r="H450" i="6" s="1"/>
  <c r="G449" i="6"/>
  <c r="H449" i="6" s="1"/>
  <c r="G448" i="6"/>
  <c r="H448" i="6" s="1"/>
  <c r="G447" i="6"/>
  <c r="H447" i="6" s="1"/>
  <c r="G446" i="6"/>
  <c r="H446" i="6" s="1"/>
  <c r="G445" i="6"/>
  <c r="H445" i="6" s="1"/>
  <c r="G444" i="6"/>
  <c r="H444" i="6" s="1"/>
  <c r="G443" i="6"/>
  <c r="H443" i="6" s="1"/>
  <c r="G442" i="6"/>
  <c r="H442" i="6" s="1"/>
  <c r="G441" i="6"/>
  <c r="H441" i="6" s="1"/>
  <c r="G440" i="6"/>
  <c r="H440" i="6" s="1"/>
  <c r="G439" i="6"/>
  <c r="H439" i="6" s="1"/>
  <c r="G438" i="6"/>
  <c r="H438" i="6" s="1"/>
  <c r="G437" i="6"/>
  <c r="H437" i="6" s="1"/>
  <c r="G436" i="6"/>
  <c r="H436" i="6" s="1"/>
  <c r="G435" i="6"/>
  <c r="H435" i="6" s="1"/>
  <c r="G434" i="6"/>
  <c r="H434" i="6" s="1"/>
  <c r="G433" i="6"/>
  <c r="H433" i="6" s="1"/>
  <c r="G432" i="6"/>
  <c r="H432" i="6" s="1"/>
  <c r="G431" i="6"/>
  <c r="H431" i="6" s="1"/>
  <c r="G430" i="6"/>
  <c r="H430" i="6" s="1"/>
  <c r="G429" i="6"/>
  <c r="H429" i="6" s="1"/>
  <c r="G428" i="6"/>
  <c r="H428" i="6" s="1"/>
  <c r="G427" i="6"/>
  <c r="H427" i="6" s="1"/>
  <c r="G426" i="6"/>
  <c r="H426" i="6" s="1"/>
  <c r="G425" i="6"/>
  <c r="H425" i="6" s="1"/>
  <c r="G424" i="6"/>
  <c r="H424" i="6" s="1"/>
  <c r="G423" i="6"/>
  <c r="H423" i="6" s="1"/>
  <c r="G422" i="6"/>
  <c r="H422" i="6" s="1"/>
  <c r="G421" i="6"/>
  <c r="H421" i="6" s="1"/>
  <c r="G420" i="6"/>
  <c r="H420" i="6" s="1"/>
  <c r="G419" i="6"/>
  <c r="H419" i="6" s="1"/>
  <c r="G418" i="6"/>
  <c r="H418" i="6" s="1"/>
  <c r="G417" i="6"/>
  <c r="H417" i="6" s="1"/>
  <c r="G416" i="6"/>
  <c r="H416" i="6" s="1"/>
  <c r="G415" i="6"/>
  <c r="H415" i="6" s="1"/>
  <c r="G414" i="6"/>
  <c r="H414" i="6" s="1"/>
  <c r="G413" i="6"/>
  <c r="H413" i="6" s="1"/>
  <c r="G412" i="6"/>
  <c r="H412" i="6" s="1"/>
  <c r="G411" i="6"/>
  <c r="H411" i="6" s="1"/>
  <c r="G410" i="6"/>
  <c r="H410" i="6" s="1"/>
  <c r="G409" i="6"/>
  <c r="H409" i="6" s="1"/>
  <c r="G408" i="6"/>
  <c r="H408" i="6" s="1"/>
  <c r="G407" i="6"/>
  <c r="H407" i="6" s="1"/>
  <c r="G406" i="6"/>
  <c r="H406" i="6" s="1"/>
  <c r="G405" i="6"/>
  <c r="H405" i="6" s="1"/>
  <c r="G404" i="6"/>
  <c r="H404" i="6" s="1"/>
  <c r="G403" i="6"/>
  <c r="H403" i="6" s="1"/>
  <c r="G402" i="6"/>
  <c r="H402" i="6" s="1"/>
  <c r="G401" i="6"/>
  <c r="H401" i="6" s="1"/>
  <c r="G400" i="6"/>
  <c r="H400" i="6" s="1"/>
  <c r="G399" i="6"/>
  <c r="H399" i="6" s="1"/>
  <c r="H398" i="6"/>
  <c r="G398" i="6"/>
  <c r="G397" i="6"/>
  <c r="H397" i="6" s="1"/>
  <c r="G396" i="6"/>
  <c r="H396" i="6" s="1"/>
  <c r="G395" i="6"/>
  <c r="H395" i="6" s="1"/>
  <c r="G394" i="6"/>
  <c r="H394" i="6" s="1"/>
  <c r="G393" i="6"/>
  <c r="H393" i="6" s="1"/>
  <c r="G392" i="6"/>
  <c r="H392" i="6" s="1"/>
  <c r="G391" i="6"/>
  <c r="H391" i="6" s="1"/>
  <c r="G390" i="6"/>
  <c r="H390" i="6" s="1"/>
  <c r="G389" i="6"/>
  <c r="H389" i="6" s="1"/>
  <c r="G388" i="6"/>
  <c r="H388" i="6" s="1"/>
  <c r="H387" i="6"/>
  <c r="G387" i="6"/>
  <c r="G386" i="6"/>
  <c r="H386" i="6" s="1"/>
  <c r="G385" i="6"/>
  <c r="H385" i="6" s="1"/>
  <c r="G384" i="6"/>
  <c r="H384" i="6" s="1"/>
  <c r="G383" i="6"/>
  <c r="H383" i="6" s="1"/>
  <c r="G382" i="6"/>
  <c r="H382" i="6" s="1"/>
  <c r="G381" i="6"/>
  <c r="H381" i="6" s="1"/>
  <c r="G380" i="6"/>
  <c r="H380" i="6" s="1"/>
  <c r="G379" i="6"/>
  <c r="H379" i="6" s="1"/>
  <c r="G378" i="6"/>
  <c r="H378" i="6" s="1"/>
  <c r="G377" i="6"/>
  <c r="H377" i="6" s="1"/>
  <c r="G376" i="6"/>
  <c r="H376" i="6" s="1"/>
  <c r="G375" i="6"/>
  <c r="H375" i="6" s="1"/>
  <c r="G374" i="6"/>
  <c r="H374" i="6" s="1"/>
  <c r="G373" i="6"/>
  <c r="H373" i="6" s="1"/>
  <c r="G372" i="6"/>
  <c r="H372" i="6" s="1"/>
  <c r="H371" i="6"/>
  <c r="G371" i="6"/>
  <c r="G370" i="6"/>
  <c r="H370" i="6" s="1"/>
  <c r="G369" i="6"/>
  <c r="H369" i="6" s="1"/>
  <c r="G368" i="6"/>
  <c r="H368" i="6" s="1"/>
  <c r="H367" i="6"/>
  <c r="G367" i="6"/>
  <c r="G366" i="6"/>
  <c r="H366" i="6" s="1"/>
  <c r="G365" i="6"/>
  <c r="H365" i="6" s="1"/>
  <c r="G364" i="6"/>
  <c r="H364" i="6" s="1"/>
  <c r="G363" i="6"/>
  <c r="H363" i="6" s="1"/>
  <c r="G362" i="6"/>
  <c r="H362" i="6" s="1"/>
  <c r="H361" i="6"/>
  <c r="G361" i="6"/>
  <c r="G360" i="6"/>
  <c r="H360" i="6" s="1"/>
  <c r="G359" i="6"/>
  <c r="H359" i="6" s="1"/>
  <c r="H358" i="6"/>
  <c r="G358" i="6"/>
  <c r="G357" i="6"/>
  <c r="H357" i="6" s="1"/>
  <c r="G356" i="6"/>
  <c r="H356" i="6" s="1"/>
  <c r="G355" i="6"/>
  <c r="H355" i="6" s="1"/>
  <c r="H354" i="6"/>
  <c r="G354" i="6"/>
  <c r="H353" i="6"/>
  <c r="G353" i="6"/>
  <c r="G352" i="6"/>
  <c r="H352" i="6" s="1"/>
  <c r="G351" i="6"/>
  <c r="H351" i="6" s="1"/>
  <c r="H350" i="6"/>
  <c r="G350" i="6"/>
  <c r="H349" i="6"/>
  <c r="G349" i="6"/>
  <c r="G348" i="6"/>
  <c r="H348" i="6" s="1"/>
  <c r="G347" i="6"/>
  <c r="H347" i="6" s="1"/>
  <c r="G346" i="6"/>
  <c r="H346" i="6" s="1"/>
  <c r="H345" i="6"/>
  <c r="G345" i="6"/>
  <c r="G344" i="6"/>
  <c r="H344" i="6" s="1"/>
  <c r="G343" i="6"/>
  <c r="H343" i="6" s="1"/>
  <c r="H342" i="6"/>
  <c r="G342" i="6"/>
  <c r="G341" i="6"/>
  <c r="H341" i="6" s="1"/>
  <c r="G340" i="6"/>
  <c r="H340" i="6" s="1"/>
  <c r="G339" i="6"/>
  <c r="H339" i="6" s="1"/>
  <c r="H338" i="6"/>
  <c r="G338" i="6"/>
  <c r="H337" i="6"/>
  <c r="G337" i="6"/>
  <c r="G336" i="6"/>
  <c r="H336" i="6" s="1"/>
  <c r="G335" i="6"/>
  <c r="H335" i="6" s="1"/>
  <c r="H334" i="6"/>
  <c r="G334" i="6"/>
  <c r="H333" i="6"/>
  <c r="G333" i="6"/>
  <c r="G332" i="6"/>
  <c r="H332" i="6" s="1"/>
  <c r="G331" i="6"/>
  <c r="H331" i="6" s="1"/>
  <c r="G330" i="6"/>
  <c r="H330" i="6" s="1"/>
  <c r="H329" i="6"/>
  <c r="G329" i="6"/>
  <c r="G328" i="6"/>
  <c r="H328" i="6" s="1"/>
  <c r="G327" i="6"/>
  <c r="H327" i="6" s="1"/>
  <c r="H326" i="6"/>
  <c r="G326" i="6"/>
  <c r="G325" i="6"/>
  <c r="H325" i="6" s="1"/>
  <c r="G324" i="6"/>
  <c r="H324" i="6" s="1"/>
  <c r="G323" i="6"/>
  <c r="H323" i="6" s="1"/>
  <c r="H322" i="6"/>
  <c r="G322" i="6"/>
  <c r="H321" i="6"/>
  <c r="G321" i="6"/>
  <c r="G320" i="6"/>
  <c r="H320" i="6" s="1"/>
  <c r="G319" i="6"/>
  <c r="H319" i="6" s="1"/>
  <c r="H318" i="6"/>
  <c r="G318" i="6"/>
  <c r="H317" i="6"/>
  <c r="G317" i="6"/>
  <c r="G316" i="6"/>
  <c r="H316" i="6" s="1"/>
  <c r="G315" i="6"/>
  <c r="H315" i="6" s="1"/>
  <c r="G314" i="6"/>
  <c r="H314" i="6" s="1"/>
  <c r="H313" i="6"/>
  <c r="G313" i="6"/>
  <c r="G312" i="6"/>
  <c r="H312" i="6" s="1"/>
  <c r="G311" i="6"/>
  <c r="H311" i="6" s="1"/>
  <c r="H310" i="6"/>
  <c r="G310" i="6"/>
  <c r="G309" i="6"/>
  <c r="H309" i="6" s="1"/>
  <c r="G308" i="6"/>
  <c r="H308" i="6" s="1"/>
  <c r="G307" i="6"/>
  <c r="H307" i="6" s="1"/>
  <c r="H306" i="6"/>
  <c r="G306" i="6"/>
  <c r="H305" i="6"/>
  <c r="G305" i="6"/>
  <c r="G304" i="6"/>
  <c r="H304" i="6" s="1"/>
  <c r="G303" i="6"/>
  <c r="H303" i="6" s="1"/>
  <c r="H302" i="6"/>
  <c r="G302" i="6"/>
  <c r="H301" i="6"/>
  <c r="G301" i="6"/>
  <c r="G300" i="6"/>
  <c r="H300" i="6" s="1"/>
  <c r="G299" i="6"/>
  <c r="H299" i="6" s="1"/>
  <c r="G298" i="6"/>
  <c r="H298" i="6" s="1"/>
  <c r="H297" i="6"/>
  <c r="G297" i="6"/>
  <c r="G296" i="6"/>
  <c r="H296" i="6" s="1"/>
  <c r="G295" i="6"/>
  <c r="H295" i="6" s="1"/>
  <c r="H294" i="6"/>
  <c r="G294" i="6"/>
  <c r="G293" i="6"/>
  <c r="H293" i="6" s="1"/>
  <c r="G292" i="6"/>
  <c r="H292" i="6" s="1"/>
  <c r="G291" i="6"/>
  <c r="H291" i="6" s="1"/>
  <c r="H290" i="6"/>
  <c r="G290" i="6"/>
  <c r="H289" i="6"/>
  <c r="G289" i="6"/>
  <c r="G288" i="6"/>
  <c r="H288" i="6" s="1"/>
  <c r="G287" i="6"/>
  <c r="H287" i="6" s="1"/>
  <c r="H286" i="6"/>
  <c r="G286" i="6"/>
  <c r="H285" i="6"/>
  <c r="G285" i="6"/>
  <c r="G284" i="6"/>
  <c r="H284" i="6" s="1"/>
  <c r="G283" i="6"/>
  <c r="H283" i="6" s="1"/>
  <c r="G282" i="6"/>
  <c r="H282" i="6" s="1"/>
  <c r="H281" i="6"/>
  <c r="G281" i="6"/>
  <c r="G280" i="6"/>
  <c r="H280" i="6" s="1"/>
  <c r="G279" i="6"/>
  <c r="H279" i="6" s="1"/>
  <c r="H278" i="6"/>
  <c r="G278" i="6"/>
  <c r="G277" i="6"/>
  <c r="H277" i="6" s="1"/>
  <c r="G276" i="6"/>
  <c r="H276" i="6" s="1"/>
  <c r="G275" i="6"/>
  <c r="H275" i="6" s="1"/>
  <c r="H274" i="6"/>
  <c r="G274" i="6"/>
  <c r="H273" i="6"/>
  <c r="G273" i="6"/>
  <c r="G272" i="6"/>
  <c r="H272" i="6" s="1"/>
  <c r="G271" i="6"/>
  <c r="H271" i="6" s="1"/>
  <c r="H270" i="6"/>
  <c r="G270" i="6"/>
  <c r="H269" i="6"/>
  <c r="G269" i="6"/>
  <c r="G268" i="6"/>
  <c r="H268" i="6" s="1"/>
  <c r="G267" i="6"/>
  <c r="H267" i="6" s="1"/>
  <c r="G266" i="6"/>
  <c r="H266" i="6" s="1"/>
  <c r="H265" i="6"/>
  <c r="G265" i="6"/>
  <c r="G264" i="6"/>
  <c r="H264" i="6" s="1"/>
  <c r="G263" i="6"/>
  <c r="H263" i="6" s="1"/>
  <c r="H262" i="6"/>
  <c r="G262" i="6"/>
  <c r="G261" i="6"/>
  <c r="H261" i="6" s="1"/>
  <c r="G260" i="6"/>
  <c r="H260" i="6" s="1"/>
  <c r="G259" i="6"/>
  <c r="H259" i="6" s="1"/>
  <c r="H258" i="6"/>
  <c r="G258" i="6"/>
  <c r="H257" i="6"/>
  <c r="G257" i="6"/>
  <c r="G256" i="6"/>
  <c r="H256" i="6" s="1"/>
  <c r="G255" i="6"/>
  <c r="H255" i="6" s="1"/>
  <c r="H254" i="6"/>
  <c r="G254" i="6"/>
  <c r="H253" i="6"/>
  <c r="G253" i="6"/>
  <c r="G252" i="6"/>
  <c r="H252" i="6" s="1"/>
  <c r="G251" i="6"/>
  <c r="H251" i="6" s="1"/>
  <c r="G250" i="6"/>
  <c r="H250" i="6" s="1"/>
  <c r="H249" i="6"/>
  <c r="G249" i="6"/>
  <c r="G248" i="6"/>
  <c r="H248" i="6" s="1"/>
  <c r="G247" i="6"/>
  <c r="H247" i="6" s="1"/>
  <c r="H246" i="6"/>
  <c r="G246" i="6"/>
  <c r="G245" i="6"/>
  <c r="H245" i="6" s="1"/>
  <c r="G244" i="6"/>
  <c r="H244" i="6" s="1"/>
  <c r="G243" i="6"/>
  <c r="H243" i="6" s="1"/>
  <c r="H242" i="6"/>
  <c r="G242" i="6"/>
  <c r="H241" i="6"/>
  <c r="G241" i="6"/>
  <c r="G240" i="6"/>
  <c r="H240" i="6" s="1"/>
  <c r="G239" i="6"/>
  <c r="H239" i="6" s="1"/>
  <c r="H238" i="6"/>
  <c r="G238" i="6"/>
  <c r="H237" i="6"/>
  <c r="G237" i="6"/>
  <c r="G236" i="6"/>
  <c r="H236" i="6" s="1"/>
  <c r="G235" i="6"/>
  <c r="H235" i="6" s="1"/>
  <c r="G234" i="6"/>
  <c r="H234" i="6" s="1"/>
  <c r="H233" i="6"/>
  <c r="G233" i="6"/>
  <c r="G232" i="6"/>
  <c r="H232" i="6" s="1"/>
  <c r="G231" i="6"/>
  <c r="H231" i="6" s="1"/>
  <c r="H230" i="6"/>
  <c r="G230" i="6"/>
  <c r="G229" i="6"/>
  <c r="H229" i="6" s="1"/>
  <c r="G228" i="6"/>
  <c r="H228" i="6" s="1"/>
  <c r="G227" i="6"/>
  <c r="H227" i="6" s="1"/>
  <c r="H226" i="6"/>
  <c r="G226" i="6"/>
  <c r="H225" i="6"/>
  <c r="G225" i="6"/>
  <c r="G224" i="6"/>
  <c r="H224" i="6" s="1"/>
  <c r="G223" i="6"/>
  <c r="H223" i="6" s="1"/>
  <c r="H222" i="6"/>
  <c r="G222" i="6"/>
  <c r="H221" i="6"/>
  <c r="G221" i="6"/>
  <c r="G220" i="6"/>
  <c r="H220" i="6" s="1"/>
  <c r="G219" i="6"/>
  <c r="H219" i="6" s="1"/>
  <c r="G218" i="6"/>
  <c r="H218" i="6" s="1"/>
  <c r="H217" i="6"/>
  <c r="G217" i="6"/>
  <c r="G216" i="6"/>
  <c r="H216" i="6" s="1"/>
  <c r="G215" i="6"/>
  <c r="H215" i="6" s="1"/>
  <c r="H214" i="6"/>
  <c r="G214" i="6"/>
  <c r="G213" i="6"/>
  <c r="H213" i="6" s="1"/>
  <c r="G212" i="6"/>
  <c r="H212" i="6" s="1"/>
  <c r="G211" i="6"/>
  <c r="H211" i="6" s="1"/>
  <c r="H210" i="6"/>
  <c r="G210" i="6"/>
  <c r="H209" i="6"/>
  <c r="G209" i="6"/>
  <c r="G208" i="6"/>
  <c r="H208" i="6" s="1"/>
  <c r="G207" i="6"/>
  <c r="H207" i="6" s="1"/>
  <c r="H206" i="6"/>
  <c r="G206" i="6"/>
  <c r="H205" i="6"/>
  <c r="G205" i="6"/>
  <c r="G204" i="6"/>
  <c r="H204" i="6" s="1"/>
  <c r="G203" i="6"/>
  <c r="H203" i="6" s="1"/>
  <c r="G202" i="6"/>
  <c r="H202" i="6" s="1"/>
  <c r="H201" i="6"/>
  <c r="G201" i="6"/>
  <c r="G200" i="6"/>
  <c r="H200" i="6" s="1"/>
  <c r="G199" i="6"/>
  <c r="H199" i="6" s="1"/>
  <c r="H198" i="6"/>
  <c r="G198" i="6"/>
  <c r="G197" i="6"/>
  <c r="H197" i="6" s="1"/>
  <c r="G196" i="6"/>
  <c r="H196" i="6" s="1"/>
  <c r="G195" i="6"/>
  <c r="H195" i="6" s="1"/>
  <c r="H194" i="6"/>
  <c r="G194" i="6"/>
  <c r="H193" i="6"/>
  <c r="G193" i="6"/>
  <c r="G192" i="6"/>
  <c r="H192" i="6" s="1"/>
  <c r="G191" i="6"/>
  <c r="H191" i="6" s="1"/>
  <c r="H190" i="6"/>
  <c r="G190" i="6"/>
  <c r="H189" i="6"/>
  <c r="G189" i="6"/>
  <c r="G188" i="6"/>
  <c r="H188" i="6" s="1"/>
  <c r="G187" i="6"/>
  <c r="H187" i="6" s="1"/>
  <c r="G186" i="6"/>
  <c r="H186" i="6" s="1"/>
  <c r="H185" i="6"/>
  <c r="G185" i="6"/>
  <c r="G184" i="6"/>
  <c r="H184" i="6" s="1"/>
  <c r="G183" i="6"/>
  <c r="H183" i="6" s="1"/>
  <c r="H182" i="6"/>
  <c r="G182" i="6"/>
  <c r="G181" i="6"/>
  <c r="H181" i="6" s="1"/>
  <c r="G180" i="6"/>
  <c r="H180" i="6" s="1"/>
  <c r="G179" i="6"/>
  <c r="H179" i="6" s="1"/>
  <c r="H178" i="6"/>
  <c r="G178" i="6"/>
  <c r="H177" i="6"/>
  <c r="G177" i="6"/>
  <c r="G176" i="6"/>
  <c r="H176" i="6" s="1"/>
  <c r="G175" i="6"/>
  <c r="H175" i="6" s="1"/>
  <c r="H174" i="6"/>
  <c r="G174" i="6"/>
  <c r="H173" i="6"/>
  <c r="G173" i="6"/>
  <c r="G172" i="6"/>
  <c r="H172" i="6" s="1"/>
  <c r="G171" i="6"/>
  <c r="H171" i="6" s="1"/>
  <c r="G170" i="6"/>
  <c r="H170" i="6" s="1"/>
  <c r="H169" i="6"/>
  <c r="G169" i="6"/>
  <c r="G168" i="6"/>
  <c r="H168" i="6" s="1"/>
  <c r="G167" i="6"/>
  <c r="H167" i="6" s="1"/>
  <c r="H166" i="6"/>
  <c r="G166" i="6"/>
  <c r="G165" i="6"/>
  <c r="H165" i="6" s="1"/>
  <c r="G164" i="6"/>
  <c r="H164" i="6" s="1"/>
  <c r="G163" i="6"/>
  <c r="H163" i="6" s="1"/>
  <c r="H162" i="6"/>
  <c r="G162" i="6"/>
  <c r="H161" i="6"/>
  <c r="G161" i="6"/>
  <c r="G160" i="6"/>
  <c r="H160" i="6" s="1"/>
  <c r="G159" i="6"/>
  <c r="H159" i="6" s="1"/>
  <c r="H158" i="6"/>
  <c r="G158" i="6"/>
  <c r="H157" i="6"/>
  <c r="G157" i="6"/>
  <c r="H156" i="6"/>
  <c r="G156" i="6"/>
  <c r="G155" i="6"/>
  <c r="H155" i="6" s="1"/>
  <c r="G154" i="6"/>
  <c r="H154" i="6" s="1"/>
  <c r="G153" i="6"/>
  <c r="H153" i="6" s="1"/>
  <c r="G152" i="6"/>
  <c r="H152" i="6" s="1"/>
  <c r="G151" i="6"/>
  <c r="H151" i="6" s="1"/>
  <c r="G150" i="6"/>
  <c r="H150" i="6" s="1"/>
  <c r="H149" i="6"/>
  <c r="G149" i="6"/>
  <c r="H148" i="6"/>
  <c r="G148" i="6"/>
  <c r="G147" i="6"/>
  <c r="H147" i="6" s="1"/>
  <c r="G146" i="6"/>
  <c r="H146" i="6" s="1"/>
  <c r="G145" i="6"/>
  <c r="H145" i="6" s="1"/>
  <c r="G144" i="6"/>
  <c r="H144" i="6" s="1"/>
  <c r="G143" i="6"/>
  <c r="H143" i="6" s="1"/>
  <c r="H142" i="6"/>
  <c r="G142" i="6"/>
  <c r="H141" i="6"/>
  <c r="G141" i="6"/>
  <c r="H140" i="6"/>
  <c r="G140" i="6"/>
  <c r="G139" i="6"/>
  <c r="H139" i="6" s="1"/>
  <c r="G138" i="6"/>
  <c r="H138" i="6" s="1"/>
  <c r="G137" i="6"/>
  <c r="H137" i="6" s="1"/>
  <c r="G136" i="6"/>
  <c r="H136" i="6" s="1"/>
  <c r="G135" i="6"/>
  <c r="H135" i="6" s="1"/>
  <c r="H134" i="6"/>
  <c r="G134" i="6"/>
  <c r="H133" i="6"/>
  <c r="G133" i="6"/>
  <c r="H132" i="6"/>
  <c r="G132" i="6"/>
  <c r="G131" i="6"/>
  <c r="H131" i="6" s="1"/>
  <c r="G130" i="6"/>
  <c r="H130" i="6" s="1"/>
  <c r="G129" i="6"/>
  <c r="H129" i="6" s="1"/>
  <c r="G128" i="6"/>
  <c r="H128" i="6" s="1"/>
  <c r="G127" i="6"/>
  <c r="H127" i="6" s="1"/>
  <c r="H126" i="6"/>
  <c r="G126" i="6"/>
  <c r="H125" i="6"/>
  <c r="G125" i="6"/>
  <c r="H124" i="6"/>
  <c r="G124" i="6"/>
  <c r="G123" i="6"/>
  <c r="H123" i="6" s="1"/>
  <c r="G122" i="6"/>
  <c r="H122" i="6" s="1"/>
  <c r="G121" i="6"/>
  <c r="H121" i="6" s="1"/>
  <c r="G120" i="6"/>
  <c r="H120" i="6" s="1"/>
  <c r="G119" i="6"/>
  <c r="H119" i="6" s="1"/>
  <c r="H118" i="6"/>
  <c r="G118" i="6"/>
  <c r="H117" i="6"/>
  <c r="G117" i="6"/>
  <c r="H116" i="6"/>
  <c r="G116" i="6"/>
  <c r="G115" i="6"/>
  <c r="H115" i="6" s="1"/>
  <c r="G114" i="6"/>
  <c r="H114" i="6" s="1"/>
  <c r="H113" i="6"/>
  <c r="G113" i="6"/>
  <c r="G112" i="6"/>
  <c r="H112" i="6" s="1"/>
  <c r="G111" i="6"/>
  <c r="H111" i="6" s="1"/>
  <c r="H110" i="6"/>
  <c r="G110" i="6"/>
  <c r="G109" i="6"/>
  <c r="H109" i="6" s="1"/>
  <c r="H108" i="6"/>
  <c r="G108" i="6"/>
  <c r="G107" i="6"/>
  <c r="H107" i="6" s="1"/>
  <c r="G106" i="6"/>
  <c r="H106" i="6" s="1"/>
  <c r="G105" i="6"/>
  <c r="H105" i="6" s="1"/>
  <c r="G104" i="6"/>
  <c r="H104" i="6" s="1"/>
  <c r="G103" i="6"/>
  <c r="H103" i="6" s="1"/>
  <c r="G102" i="6"/>
  <c r="H102" i="6" s="1"/>
  <c r="H101" i="6"/>
  <c r="G101" i="6"/>
  <c r="H100" i="6"/>
  <c r="G100" i="6"/>
  <c r="G99" i="6"/>
  <c r="H99" i="6" s="1"/>
  <c r="G98" i="6"/>
  <c r="H98" i="6" s="1"/>
  <c r="G97" i="6"/>
  <c r="H97" i="6" s="1"/>
  <c r="G96" i="6"/>
  <c r="H96" i="6" s="1"/>
  <c r="G95" i="6"/>
  <c r="H95" i="6" s="1"/>
  <c r="H94" i="6"/>
  <c r="G94" i="6"/>
  <c r="G93" i="6"/>
  <c r="H93" i="6" s="1"/>
  <c r="H92" i="6"/>
  <c r="G92" i="6"/>
  <c r="G91" i="6"/>
  <c r="H91" i="6" s="1"/>
  <c r="G90" i="6"/>
  <c r="H90" i="6" s="1"/>
  <c r="G89" i="6"/>
  <c r="H89" i="6" s="1"/>
  <c r="H88" i="6"/>
  <c r="G88" i="6"/>
  <c r="G87" i="6"/>
  <c r="H87" i="6" s="1"/>
  <c r="H86" i="6"/>
  <c r="G86" i="6"/>
  <c r="H85" i="6"/>
  <c r="G85" i="6"/>
  <c r="G84" i="6"/>
  <c r="H84" i="6" s="1"/>
  <c r="G83" i="6"/>
  <c r="H83" i="6" s="1"/>
  <c r="G82" i="6"/>
  <c r="H82" i="6" s="1"/>
  <c r="H81" i="6"/>
  <c r="G81" i="6"/>
  <c r="G80" i="6"/>
  <c r="H80" i="6" s="1"/>
  <c r="G79" i="6"/>
  <c r="H79" i="6" s="1"/>
  <c r="H78" i="6"/>
  <c r="G78" i="6"/>
  <c r="H77" i="6"/>
  <c r="G77" i="6"/>
  <c r="H76" i="6"/>
  <c r="G76" i="6"/>
  <c r="G75" i="6"/>
  <c r="H75" i="6" s="1"/>
  <c r="H74" i="6"/>
  <c r="G74" i="6"/>
  <c r="G73" i="6"/>
  <c r="H73" i="6" s="1"/>
  <c r="H72" i="6"/>
  <c r="G72" i="6"/>
  <c r="G71" i="6"/>
  <c r="H71" i="6" s="1"/>
  <c r="G70" i="6"/>
  <c r="H70" i="6" s="1"/>
  <c r="H69" i="6"/>
  <c r="G69" i="6"/>
  <c r="G68" i="6"/>
  <c r="H68" i="6" s="1"/>
  <c r="G67" i="6"/>
  <c r="H67" i="6" s="1"/>
  <c r="G66" i="6"/>
  <c r="H66" i="6" s="1"/>
  <c r="G65" i="6"/>
  <c r="H65" i="6" s="1"/>
  <c r="G64" i="6"/>
  <c r="H64" i="6" s="1"/>
  <c r="G63" i="6"/>
  <c r="H63" i="6" s="1"/>
  <c r="H62" i="6"/>
  <c r="G62" i="6"/>
  <c r="G61" i="6"/>
  <c r="H61" i="6" s="1"/>
  <c r="H60" i="6"/>
  <c r="G60" i="6"/>
  <c r="G59" i="6"/>
  <c r="H59" i="6" s="1"/>
  <c r="G58" i="6"/>
  <c r="H58" i="6" s="1"/>
  <c r="G57" i="6"/>
  <c r="H57" i="6" s="1"/>
  <c r="G56" i="6"/>
  <c r="H56" i="6" s="1"/>
  <c r="G55" i="6"/>
  <c r="H55" i="6" s="1"/>
  <c r="G54" i="6"/>
  <c r="H54" i="6" s="1"/>
  <c r="H53" i="6"/>
  <c r="G53" i="6"/>
  <c r="H52" i="6"/>
  <c r="G52" i="6"/>
  <c r="G51" i="6"/>
  <c r="H51" i="6" s="1"/>
  <c r="G50" i="6"/>
  <c r="H50" i="6" s="1"/>
  <c r="G49" i="6"/>
  <c r="H49" i="6" s="1"/>
  <c r="G48" i="6"/>
  <c r="H48" i="6" s="1"/>
  <c r="G47" i="6"/>
  <c r="H47" i="6" s="1"/>
  <c r="H46" i="6"/>
  <c r="G46" i="6"/>
  <c r="H45" i="6"/>
  <c r="G45" i="6"/>
  <c r="H44" i="6"/>
  <c r="G44" i="6"/>
  <c r="G43" i="6"/>
  <c r="H43" i="6" s="1"/>
  <c r="H42" i="6"/>
  <c r="G42" i="6"/>
  <c r="G41" i="6"/>
  <c r="H41" i="6" s="1"/>
  <c r="H40" i="6"/>
  <c r="G40" i="6"/>
  <c r="G39" i="6"/>
  <c r="H39" i="6" s="1"/>
  <c r="H38" i="6"/>
  <c r="G38" i="6"/>
  <c r="H37" i="6"/>
  <c r="G37" i="6"/>
  <c r="G36" i="6"/>
  <c r="H36" i="6" s="1"/>
  <c r="G35" i="6"/>
  <c r="H35" i="6" s="1"/>
  <c r="G34" i="6"/>
  <c r="H34" i="6" s="1"/>
  <c r="H33" i="6"/>
  <c r="G33" i="6"/>
  <c r="G32" i="6"/>
  <c r="H32" i="6" s="1"/>
  <c r="G31" i="6"/>
  <c r="H31" i="6" s="1"/>
  <c r="H30" i="6"/>
  <c r="G30" i="6"/>
  <c r="G29" i="6"/>
  <c r="H29" i="6" s="1"/>
  <c r="H28" i="6"/>
  <c r="G28" i="6"/>
  <c r="G27" i="6"/>
  <c r="H27" i="6" s="1"/>
  <c r="H26" i="6"/>
  <c r="G26" i="6"/>
  <c r="G25" i="6"/>
  <c r="H25" i="6" s="1"/>
  <c r="G24" i="6"/>
  <c r="H24" i="6" s="1"/>
  <c r="G23" i="6"/>
  <c r="H23" i="6" s="1"/>
  <c r="G22" i="6"/>
  <c r="H22" i="6" s="1"/>
  <c r="H21" i="6"/>
  <c r="G21" i="6"/>
  <c r="H20" i="6"/>
  <c r="G20" i="6"/>
  <c r="G19" i="6"/>
  <c r="H19" i="6" s="1"/>
  <c r="G18" i="6"/>
  <c r="H18" i="6" s="1"/>
  <c r="G17" i="6"/>
  <c r="H17" i="6" s="1"/>
  <c r="G16" i="6"/>
  <c r="H16" i="6" s="1"/>
  <c r="G15" i="6"/>
  <c r="H15" i="6" s="1"/>
  <c r="H14" i="6"/>
  <c r="G14" i="6"/>
  <c r="G13" i="6"/>
  <c r="H13" i="6" s="1"/>
  <c r="H12" i="6"/>
  <c r="G12" i="6"/>
  <c r="G11" i="6"/>
  <c r="H11" i="6" s="1"/>
  <c r="G10" i="6"/>
  <c r="H10" i="6" s="1"/>
  <c r="G9" i="6"/>
  <c r="H9" i="6" s="1"/>
  <c r="G8" i="6"/>
  <c r="H8" i="6" s="1"/>
  <c r="K7" i="6"/>
  <c r="G7" i="6"/>
  <c r="H7" i="6" s="1"/>
  <c r="K6" i="6"/>
  <c r="H6" i="6"/>
  <c r="G6" i="6"/>
  <c r="K5" i="6"/>
  <c r="G5" i="6"/>
  <c r="H5" i="6" s="1"/>
  <c r="K4" i="6"/>
  <c r="G4" i="6"/>
  <c r="H4" i="6" s="1"/>
  <c r="K3" i="6"/>
  <c r="G3" i="6"/>
  <c r="H3" i="6" s="1"/>
  <c r="G2" i="6"/>
  <c r="H2" i="6" s="1"/>
  <c r="K189" i="5"/>
  <c r="J189" i="5"/>
  <c r="I189" i="5"/>
  <c r="O187" i="5" s="1"/>
  <c r="G189" i="5"/>
  <c r="M182" i="5" s="1"/>
  <c r="F189" i="5"/>
  <c r="E189" i="5"/>
  <c r="Q188" i="5"/>
  <c r="O188" i="5"/>
  <c r="Q187" i="5"/>
  <c r="Q186" i="5"/>
  <c r="O186" i="5"/>
  <c r="Q185" i="5"/>
  <c r="O185" i="5"/>
  <c r="M185" i="5"/>
  <c r="Q184" i="5"/>
  <c r="O184" i="5"/>
  <c r="Q183" i="5"/>
  <c r="Q182" i="5"/>
  <c r="O182" i="5"/>
  <c r="Q181" i="5"/>
  <c r="O181" i="5"/>
  <c r="P180" i="5"/>
  <c r="O180" i="5"/>
  <c r="M180" i="5"/>
  <c r="Q179" i="5"/>
  <c r="M179" i="5"/>
  <c r="Q178" i="5"/>
  <c r="O178" i="5"/>
  <c r="Q177" i="5"/>
  <c r="O177" i="5"/>
  <c r="O176" i="5"/>
  <c r="M176" i="5"/>
  <c r="Q175" i="5"/>
  <c r="O174" i="5"/>
  <c r="M174" i="5"/>
  <c r="Q173" i="5"/>
  <c r="O173" i="5"/>
  <c r="M173" i="5"/>
  <c r="Q172" i="5"/>
  <c r="O172" i="5"/>
  <c r="M172" i="5"/>
  <c r="Q171" i="5"/>
  <c r="P171" i="5"/>
  <c r="O170" i="5"/>
  <c r="Q169" i="5"/>
  <c r="O169" i="5"/>
  <c r="P168" i="5"/>
  <c r="O168" i="5"/>
  <c r="M168" i="5"/>
  <c r="M167" i="5"/>
  <c r="P166" i="5"/>
  <c r="O166" i="5"/>
  <c r="P165" i="5"/>
  <c r="O165" i="5"/>
  <c r="Q164" i="5"/>
  <c r="O164" i="5"/>
  <c r="M164" i="5"/>
  <c r="Q163" i="5"/>
  <c r="Q162" i="5"/>
  <c r="P162" i="5"/>
  <c r="O162" i="5"/>
  <c r="M162" i="5"/>
  <c r="O161" i="5"/>
  <c r="Q160" i="5"/>
  <c r="O160" i="5"/>
  <c r="Q159" i="5"/>
  <c r="P159" i="5"/>
  <c r="Q158" i="5"/>
  <c r="O158" i="5"/>
  <c r="Q157" i="5"/>
  <c r="O157" i="5"/>
  <c r="Q156" i="5"/>
  <c r="O156" i="5"/>
  <c r="M156" i="5"/>
  <c r="Q155" i="5"/>
  <c r="P154" i="5"/>
  <c r="O154" i="5"/>
  <c r="Q153" i="5"/>
  <c r="O153" i="5"/>
  <c r="M153" i="5"/>
  <c r="Q152" i="5"/>
  <c r="O152" i="5"/>
  <c r="P151" i="5"/>
  <c r="M151" i="5"/>
  <c r="Q150" i="5"/>
  <c r="O150" i="5"/>
  <c r="M150" i="5"/>
  <c r="Q149" i="5"/>
  <c r="O149" i="5"/>
  <c r="M149" i="5"/>
  <c r="Q148" i="5"/>
  <c r="P148" i="5"/>
  <c r="O148" i="5"/>
  <c r="P147" i="5"/>
  <c r="Q146" i="5"/>
  <c r="O146" i="5"/>
  <c r="P145" i="5"/>
  <c r="O145" i="5"/>
  <c r="M145" i="5"/>
  <c r="O144" i="5"/>
  <c r="Q143" i="5"/>
  <c r="Q142" i="5"/>
  <c r="O142" i="5"/>
  <c r="Q141" i="5"/>
  <c r="P141" i="5"/>
  <c r="O141" i="5"/>
  <c r="O140" i="5"/>
  <c r="M140" i="5"/>
  <c r="Q139" i="5"/>
  <c r="P138" i="5"/>
  <c r="O138" i="5"/>
  <c r="M138" i="5"/>
  <c r="O137" i="5"/>
  <c r="Q136" i="5"/>
  <c r="P136" i="5"/>
  <c r="O136" i="5"/>
  <c r="M136" i="5"/>
  <c r="Q135" i="5"/>
  <c r="P134" i="5"/>
  <c r="O134" i="5"/>
  <c r="Q133" i="5"/>
  <c r="P133" i="5"/>
  <c r="O133" i="5"/>
  <c r="M133" i="5"/>
  <c r="R133" i="5" s="1"/>
  <c r="S133" i="5" s="1"/>
  <c r="P132" i="5"/>
  <c r="O132" i="5"/>
  <c r="M132" i="5"/>
  <c r="Q131" i="5"/>
  <c r="P131" i="5"/>
  <c r="Q130" i="5"/>
  <c r="O130" i="5"/>
  <c r="O129" i="5"/>
  <c r="Q128" i="5"/>
  <c r="P128" i="5"/>
  <c r="O128" i="5"/>
  <c r="Q127" i="5"/>
  <c r="P127" i="5"/>
  <c r="M127" i="5"/>
  <c r="O126" i="5"/>
  <c r="Q125" i="5"/>
  <c r="P125" i="5"/>
  <c r="O125" i="5"/>
  <c r="Q124" i="5"/>
  <c r="P124" i="5"/>
  <c r="O124" i="5"/>
  <c r="Q123" i="5"/>
  <c r="Q122" i="5"/>
  <c r="P122" i="5"/>
  <c r="O122" i="5"/>
  <c r="M122" i="5"/>
  <c r="Q121" i="5"/>
  <c r="O121" i="5"/>
  <c r="Q120" i="5"/>
  <c r="O120" i="5"/>
  <c r="Q119" i="5"/>
  <c r="P119" i="5"/>
  <c r="Q118" i="5"/>
  <c r="O118" i="5"/>
  <c r="Q117" i="5"/>
  <c r="O117" i="5"/>
  <c r="Q116" i="5"/>
  <c r="O116" i="5"/>
  <c r="Q115" i="5"/>
  <c r="O115" i="5"/>
  <c r="Q114" i="5"/>
  <c r="O114" i="5"/>
  <c r="Q113" i="5"/>
  <c r="O113" i="5"/>
  <c r="P112" i="5"/>
  <c r="O112" i="5"/>
  <c r="M112" i="5"/>
  <c r="Q111" i="5"/>
  <c r="O111" i="5"/>
  <c r="M111" i="5"/>
  <c r="Q110" i="5"/>
  <c r="O110" i="5"/>
  <c r="Q109" i="5"/>
  <c r="P109" i="5"/>
  <c r="O109" i="5"/>
  <c r="Q108" i="5"/>
  <c r="P108" i="5"/>
  <c r="O108" i="5"/>
  <c r="Q107" i="5"/>
  <c r="O107" i="5"/>
  <c r="Q106" i="5"/>
  <c r="P106" i="5"/>
  <c r="O106" i="5"/>
  <c r="Q105" i="5"/>
  <c r="P105" i="5"/>
  <c r="O105" i="5"/>
  <c r="M105" i="5"/>
  <c r="Q104" i="5"/>
  <c r="P104" i="5"/>
  <c r="O104" i="5"/>
  <c r="M104" i="5"/>
  <c r="R104" i="5" s="1"/>
  <c r="S104" i="5" s="1"/>
  <c r="Q103" i="5"/>
  <c r="P103" i="5"/>
  <c r="O103" i="5"/>
  <c r="M103" i="5"/>
  <c r="Q102" i="5"/>
  <c r="O102" i="5"/>
  <c r="Q101" i="5"/>
  <c r="P101" i="5"/>
  <c r="O101" i="5"/>
  <c r="Q100" i="5"/>
  <c r="O100" i="5"/>
  <c r="Q99" i="5"/>
  <c r="P99" i="5"/>
  <c r="O99" i="5"/>
  <c r="Q98" i="5"/>
  <c r="O98" i="5"/>
  <c r="Q97" i="5"/>
  <c r="O97" i="5"/>
  <c r="Q96" i="5"/>
  <c r="P96" i="5"/>
  <c r="O96" i="5"/>
  <c r="M96" i="5"/>
  <c r="Q95" i="5"/>
  <c r="O95" i="5"/>
  <c r="Q94" i="5"/>
  <c r="O94" i="5"/>
  <c r="Q93" i="5"/>
  <c r="P93" i="5"/>
  <c r="O93" i="5"/>
  <c r="O92" i="5"/>
  <c r="Q91" i="5"/>
  <c r="P91" i="5"/>
  <c r="O91" i="5"/>
  <c r="Q90" i="5"/>
  <c r="P90" i="5"/>
  <c r="O90" i="5"/>
  <c r="O89" i="5"/>
  <c r="M89" i="5"/>
  <c r="Q88" i="5"/>
  <c r="P88" i="5"/>
  <c r="O88" i="5"/>
  <c r="Q87" i="5"/>
  <c r="P87" i="5"/>
  <c r="O87" i="5"/>
  <c r="M87" i="5"/>
  <c r="R87" i="5" s="1"/>
  <c r="S87" i="5" s="1"/>
  <c r="Q86" i="5"/>
  <c r="P86" i="5"/>
  <c r="R86" i="5" s="1"/>
  <c r="S86" i="5" s="1"/>
  <c r="O86" i="5"/>
  <c r="M86" i="5"/>
  <c r="Q85" i="5"/>
  <c r="O85" i="5"/>
  <c r="Q84" i="5"/>
  <c r="O84" i="5"/>
  <c r="Q83" i="5"/>
  <c r="P83" i="5"/>
  <c r="O83" i="5"/>
  <c r="M83" i="5"/>
  <c r="Q82" i="5"/>
  <c r="O82" i="5"/>
  <c r="Q81" i="5"/>
  <c r="P81" i="5"/>
  <c r="O81" i="5"/>
  <c r="M81" i="5"/>
  <c r="Q80" i="5"/>
  <c r="P80" i="5"/>
  <c r="O80" i="5"/>
  <c r="P79" i="5"/>
  <c r="O79" i="5"/>
  <c r="M79" i="5"/>
  <c r="Q78" i="5"/>
  <c r="P78" i="5"/>
  <c r="O78" i="5"/>
  <c r="Q77" i="5"/>
  <c r="O77" i="5"/>
  <c r="Q76" i="5"/>
  <c r="P76" i="5"/>
  <c r="O76" i="5"/>
  <c r="Q75" i="5"/>
  <c r="O75" i="5"/>
  <c r="M75" i="5"/>
  <c r="O74" i="5"/>
  <c r="Q73" i="5"/>
  <c r="P73" i="5"/>
  <c r="O73" i="5"/>
  <c r="M73" i="5"/>
  <c r="P72" i="5"/>
  <c r="O72" i="5"/>
  <c r="O71" i="5"/>
  <c r="Q70" i="5"/>
  <c r="P70" i="5"/>
  <c r="O70" i="5"/>
  <c r="M70" i="5"/>
  <c r="Q69" i="5"/>
  <c r="O69" i="5"/>
  <c r="Q68" i="5"/>
  <c r="O68" i="5"/>
  <c r="M68" i="5"/>
  <c r="O67" i="5"/>
  <c r="Q66" i="5"/>
  <c r="P66" i="5"/>
  <c r="O66" i="5"/>
  <c r="Q65" i="5"/>
  <c r="O65" i="5"/>
  <c r="P64" i="5"/>
  <c r="O64" i="5"/>
  <c r="Q63" i="5"/>
  <c r="P63" i="5"/>
  <c r="O63" i="5"/>
  <c r="Q62" i="5"/>
  <c r="O62" i="5"/>
  <c r="M62" i="5"/>
  <c r="Q61" i="5"/>
  <c r="O61" i="5"/>
  <c r="Q60" i="5"/>
  <c r="O60" i="5"/>
  <c r="Q59" i="5"/>
  <c r="O59" i="5"/>
  <c r="Q58" i="5"/>
  <c r="P58" i="5"/>
  <c r="O58" i="5"/>
  <c r="M58" i="5"/>
  <c r="R58" i="5" s="1"/>
  <c r="S58" i="5" s="1"/>
  <c r="P57" i="5"/>
  <c r="O57" i="5"/>
  <c r="Q56" i="5"/>
  <c r="P56" i="5"/>
  <c r="O56" i="5"/>
  <c r="Q55" i="5"/>
  <c r="P55" i="5"/>
  <c r="O55" i="5"/>
  <c r="M55" i="5"/>
  <c r="Q54" i="5"/>
  <c r="O54" i="5"/>
  <c r="M54" i="5"/>
  <c r="Q53" i="5"/>
  <c r="O53" i="5"/>
  <c r="P52" i="5"/>
  <c r="O52" i="5"/>
  <c r="Q51" i="5"/>
  <c r="O51" i="5"/>
  <c r="Q50" i="5"/>
  <c r="O50" i="5"/>
  <c r="P49" i="5"/>
  <c r="O49" i="5"/>
  <c r="M49" i="5"/>
  <c r="Q48" i="5"/>
  <c r="O48" i="5"/>
  <c r="M48" i="5"/>
  <c r="P47" i="5"/>
  <c r="O47" i="5"/>
  <c r="M47" i="5"/>
  <c r="Q46" i="5"/>
  <c r="P46" i="5"/>
  <c r="O46" i="5"/>
  <c r="M46" i="5"/>
  <c r="P45" i="5"/>
  <c r="O45" i="5"/>
  <c r="Q44" i="5"/>
  <c r="P44" i="5"/>
  <c r="O44" i="5"/>
  <c r="Q43" i="5"/>
  <c r="O43" i="5"/>
  <c r="M43" i="5"/>
  <c r="Q42" i="5"/>
  <c r="O42" i="5"/>
  <c r="Q41" i="5"/>
  <c r="P41" i="5"/>
  <c r="O41" i="5"/>
  <c r="M41" i="5"/>
  <c r="R41" i="5" s="1"/>
  <c r="S41" i="5" s="1"/>
  <c r="Q40" i="5"/>
  <c r="O40" i="5"/>
  <c r="M40" i="5"/>
  <c r="Q39" i="5"/>
  <c r="P39" i="5"/>
  <c r="O39" i="5"/>
  <c r="Q38" i="5"/>
  <c r="P38" i="5"/>
  <c r="O38" i="5"/>
  <c r="Q37" i="5"/>
  <c r="P37" i="5"/>
  <c r="O37" i="5"/>
  <c r="M37" i="5"/>
  <c r="Q36" i="5"/>
  <c r="O36" i="5"/>
  <c r="Q35" i="5"/>
  <c r="O35" i="5"/>
  <c r="Q34" i="5"/>
  <c r="P34" i="5"/>
  <c r="O34" i="5"/>
  <c r="Q33" i="5"/>
  <c r="P33" i="5"/>
  <c r="O33" i="5"/>
  <c r="O32" i="5"/>
  <c r="M32" i="5"/>
  <c r="Q31" i="5"/>
  <c r="P31" i="5"/>
  <c r="O31" i="5"/>
  <c r="P30" i="5"/>
  <c r="O30" i="5"/>
  <c r="M30" i="5"/>
  <c r="Q29" i="5"/>
  <c r="O29" i="5"/>
  <c r="Q28" i="5"/>
  <c r="O28" i="5"/>
  <c r="P27" i="5"/>
  <c r="O27" i="5"/>
  <c r="Q26" i="5"/>
  <c r="P26" i="5"/>
  <c r="O26" i="5"/>
  <c r="Q25" i="5"/>
  <c r="P25" i="5"/>
  <c r="O25" i="5"/>
  <c r="Q24" i="5"/>
  <c r="P24" i="5"/>
  <c r="O24" i="5"/>
  <c r="Q23" i="5"/>
  <c r="P23" i="5"/>
  <c r="O23" i="5"/>
  <c r="Q22" i="5"/>
  <c r="O22" i="5"/>
  <c r="M22" i="5"/>
  <c r="Q21" i="5"/>
  <c r="O21" i="5"/>
  <c r="Q20" i="5"/>
  <c r="P20" i="5"/>
  <c r="O20" i="5"/>
  <c r="P19" i="5"/>
  <c r="O19" i="5"/>
  <c r="Q18" i="5"/>
  <c r="O18" i="5"/>
  <c r="Q17" i="5"/>
  <c r="P17" i="5"/>
  <c r="O17" i="5"/>
  <c r="M17" i="5"/>
  <c r="R17" i="5" s="1"/>
  <c r="S17" i="5" s="1"/>
  <c r="Q16" i="5"/>
  <c r="P16" i="5"/>
  <c r="O16" i="5"/>
  <c r="Q15" i="5"/>
  <c r="P15" i="5"/>
  <c r="O15" i="5"/>
  <c r="M15" i="5"/>
  <c r="Q14" i="5"/>
  <c r="P14" i="5"/>
  <c r="O14" i="5"/>
  <c r="M14" i="5"/>
  <c r="Q13" i="5"/>
  <c r="P13" i="5"/>
  <c r="O13" i="5"/>
  <c r="Q12" i="5"/>
  <c r="P12" i="5"/>
  <c r="O12" i="5"/>
  <c r="M12" i="5"/>
  <c r="Q11" i="5"/>
  <c r="O11" i="5"/>
  <c r="Q10" i="5"/>
  <c r="O10" i="5"/>
  <c r="R9" i="5"/>
  <c r="S9" i="5" s="1"/>
  <c r="Q9" i="5"/>
  <c r="P9" i="5"/>
  <c r="O9" i="5"/>
  <c r="M9" i="5"/>
  <c r="Q8" i="5"/>
  <c r="P8" i="5"/>
  <c r="O8" i="5"/>
  <c r="M8" i="5"/>
  <c r="R8" i="5" s="1"/>
  <c r="S8" i="5" s="1"/>
  <c r="Q7" i="5"/>
  <c r="P7" i="5"/>
  <c r="O7" i="5"/>
  <c r="Q6" i="5"/>
  <c r="P6" i="5"/>
  <c r="O6" i="5"/>
  <c r="P5" i="5"/>
  <c r="O5" i="5"/>
  <c r="M5" i="5"/>
  <c r="Q4" i="5"/>
  <c r="O4" i="5"/>
  <c r="Q3" i="5"/>
  <c r="O3" i="5"/>
  <c r="P2" i="5"/>
  <c r="O2" i="5"/>
  <c r="J232" i="4"/>
  <c r="O178" i="4" s="1"/>
  <c r="I232" i="4"/>
  <c r="G232" i="4"/>
  <c r="F232" i="4"/>
  <c r="L204" i="4" s="1"/>
  <c r="E232" i="4"/>
  <c r="N230" i="4"/>
  <c r="L230" i="4"/>
  <c r="N229" i="4"/>
  <c r="N228" i="4"/>
  <c r="N226" i="4"/>
  <c r="L226" i="4"/>
  <c r="N225" i="4"/>
  <c r="N223" i="4"/>
  <c r="L222" i="4"/>
  <c r="O221" i="4"/>
  <c r="P221" i="4" s="1"/>
  <c r="Q221" i="4" s="1"/>
  <c r="N221" i="4"/>
  <c r="L221" i="4"/>
  <c r="L218" i="4"/>
  <c r="N217" i="4"/>
  <c r="L216" i="4"/>
  <c r="L215" i="4"/>
  <c r="N213" i="4"/>
  <c r="L211" i="4"/>
  <c r="N208" i="4"/>
  <c r="L208" i="4"/>
  <c r="N207" i="4"/>
  <c r="N206" i="4"/>
  <c r="N203" i="4"/>
  <c r="L203" i="4"/>
  <c r="L202" i="4"/>
  <c r="N199" i="4"/>
  <c r="L199" i="4"/>
  <c r="N198" i="4"/>
  <c r="L198" i="4"/>
  <c r="L195" i="4"/>
  <c r="N194" i="4"/>
  <c r="L194" i="4"/>
  <c r="N193" i="4"/>
  <c r="N191" i="4"/>
  <c r="L190" i="4"/>
  <c r="L189" i="4"/>
  <c r="N187" i="4"/>
  <c r="L186" i="4"/>
  <c r="N185" i="4"/>
  <c r="N184" i="4"/>
  <c r="N183" i="4"/>
  <c r="L181" i="4"/>
  <c r="N180" i="4"/>
  <c r="N179" i="4"/>
  <c r="N176" i="4"/>
  <c r="L176" i="4"/>
  <c r="L173" i="4"/>
  <c r="N172" i="4"/>
  <c r="L172" i="4"/>
  <c r="L171" i="4"/>
  <c r="N168" i="4"/>
  <c r="L168" i="4"/>
  <c r="L167" i="4"/>
  <c r="L165" i="4"/>
  <c r="N164" i="4"/>
  <c r="N160" i="4"/>
  <c r="L160" i="4"/>
  <c r="N159" i="4"/>
  <c r="L158" i="4"/>
  <c r="L157" i="4"/>
  <c r="N155" i="4"/>
  <c r="N154" i="4"/>
  <c r="N153" i="4"/>
  <c r="L153" i="4"/>
  <c r="L152" i="4"/>
  <c r="L151" i="4"/>
  <c r="N148" i="4"/>
  <c r="O147" i="4"/>
  <c r="L147" i="4"/>
  <c r="L145" i="4"/>
  <c r="O144" i="4"/>
  <c r="L143" i="4"/>
  <c r="N141" i="4"/>
  <c r="L141" i="4"/>
  <c r="N140" i="4"/>
  <c r="L139" i="4"/>
  <c r="N136" i="4"/>
  <c r="L136" i="4"/>
  <c r="N135" i="4"/>
  <c r="L134" i="4"/>
  <c r="N133" i="4"/>
  <c r="L133" i="4"/>
  <c r="N129" i="4"/>
  <c r="L129" i="4"/>
  <c r="O128" i="4"/>
  <c r="L128" i="4"/>
  <c r="L127" i="4"/>
  <c r="N122" i="4"/>
  <c r="L122" i="4"/>
  <c r="N121" i="4"/>
  <c r="L119" i="4"/>
  <c r="N118" i="4"/>
  <c r="N117" i="4"/>
  <c r="N115" i="4"/>
  <c r="L115" i="4"/>
  <c r="N113" i="4"/>
  <c r="N112" i="4"/>
  <c r="L112" i="4"/>
  <c r="N111" i="4"/>
  <c r="L111" i="4"/>
  <c r="L110" i="4"/>
  <c r="L107" i="4"/>
  <c r="N105" i="4"/>
  <c r="L105" i="4"/>
  <c r="N103" i="4"/>
  <c r="L103" i="4"/>
  <c r="N102" i="4"/>
  <c r="L102" i="4"/>
  <c r="L101" i="4"/>
  <c r="N98" i="4"/>
  <c r="N97" i="4"/>
  <c r="O96" i="4"/>
  <c r="N96" i="4"/>
  <c r="L96" i="4"/>
  <c r="N95" i="4"/>
  <c r="L93" i="4"/>
  <c r="N92" i="4"/>
  <c r="L91" i="4"/>
  <c r="N89" i="4"/>
  <c r="L89" i="4"/>
  <c r="L87" i="4"/>
  <c r="L86" i="4"/>
  <c r="N85" i="4"/>
  <c r="L85" i="4"/>
  <c r="N84" i="4"/>
  <c r="N83" i="4"/>
  <c r="L82" i="4"/>
  <c r="L81" i="4"/>
  <c r="L80" i="4"/>
  <c r="N78" i="4"/>
  <c r="L78" i="4"/>
  <c r="N77" i="4"/>
  <c r="L77" i="4"/>
  <c r="L75" i="4"/>
  <c r="N74" i="4"/>
  <c r="L74" i="4"/>
  <c r="O73" i="4"/>
  <c r="L73" i="4"/>
  <c r="L70" i="4"/>
  <c r="N68" i="4"/>
  <c r="N67" i="4"/>
  <c r="N64" i="4"/>
  <c r="L64" i="4"/>
  <c r="L63" i="4"/>
  <c r="N61" i="4"/>
  <c r="L61" i="4"/>
  <c r="N58" i="4"/>
  <c r="L58" i="4"/>
  <c r="O57" i="4"/>
  <c r="N57" i="4"/>
  <c r="N56" i="4"/>
  <c r="N54" i="4"/>
  <c r="N53" i="4"/>
  <c r="N52" i="4"/>
  <c r="L49" i="4"/>
  <c r="N48" i="4"/>
  <c r="L48" i="4"/>
  <c r="L47" i="4"/>
  <c r="O45" i="4"/>
  <c r="N42" i="4"/>
  <c r="L42" i="4"/>
  <c r="N41" i="4"/>
  <c r="L39" i="4"/>
  <c r="N38" i="4"/>
  <c r="N37" i="4"/>
  <c r="N36" i="4"/>
  <c r="O35" i="4"/>
  <c r="L34" i="4"/>
  <c r="N32" i="4"/>
  <c r="L32" i="4"/>
  <c r="N31" i="4"/>
  <c r="N30" i="4"/>
  <c r="N28" i="4"/>
  <c r="N27" i="4"/>
  <c r="L26" i="4"/>
  <c r="N25" i="4"/>
  <c r="L25" i="4"/>
  <c r="L23" i="4"/>
  <c r="N22" i="4"/>
  <c r="L22" i="4"/>
  <c r="L21" i="4"/>
  <c r="O19" i="4"/>
  <c r="N18" i="4"/>
  <c r="N17" i="4"/>
  <c r="N16" i="4"/>
  <c r="L16" i="4"/>
  <c r="N15" i="4"/>
  <c r="L15" i="4"/>
  <c r="L14" i="4"/>
  <c r="N12" i="4"/>
  <c r="N11" i="4"/>
  <c r="L10" i="4"/>
  <c r="L8" i="4"/>
  <c r="L7" i="4"/>
  <c r="O6" i="4"/>
  <c r="N6" i="4"/>
  <c r="L6" i="4"/>
  <c r="L5" i="4"/>
  <c r="L3" i="4"/>
  <c r="N2" i="4"/>
  <c r="L325" i="3"/>
  <c r="R318" i="3" s="1"/>
  <c r="K325" i="3"/>
  <c r="I325" i="3"/>
  <c r="P315" i="3" s="1"/>
  <c r="G325" i="3"/>
  <c r="O248" i="3" s="1"/>
  <c r="Q324" i="3"/>
  <c r="P324" i="3"/>
  <c r="N324" i="3"/>
  <c r="Q323" i="3"/>
  <c r="P323" i="3"/>
  <c r="N323" i="3"/>
  <c r="Q322" i="3"/>
  <c r="P322" i="3"/>
  <c r="N322" i="3"/>
  <c r="Q321" i="3"/>
  <c r="N321" i="3"/>
  <c r="Q320" i="3"/>
  <c r="P320" i="3"/>
  <c r="N320" i="3"/>
  <c r="Q319" i="3"/>
  <c r="P319" i="3"/>
  <c r="N319" i="3"/>
  <c r="Q318" i="3"/>
  <c r="P318" i="3"/>
  <c r="N318" i="3"/>
  <c r="Q317" i="3"/>
  <c r="P317" i="3"/>
  <c r="N317" i="3"/>
  <c r="Q316" i="3"/>
  <c r="P316" i="3"/>
  <c r="N316" i="3"/>
  <c r="Q315" i="3"/>
  <c r="N315" i="3"/>
  <c r="Q314" i="3"/>
  <c r="P314" i="3"/>
  <c r="N314" i="3"/>
  <c r="Q313" i="3"/>
  <c r="N313" i="3"/>
  <c r="Q312" i="3"/>
  <c r="P312" i="3"/>
  <c r="N312" i="3"/>
  <c r="Q311" i="3"/>
  <c r="P311" i="3"/>
  <c r="N311" i="3"/>
  <c r="Q310" i="3"/>
  <c r="P310" i="3"/>
  <c r="N310" i="3"/>
  <c r="Q309" i="3"/>
  <c r="P309" i="3"/>
  <c r="N309" i="3"/>
  <c r="R308" i="3"/>
  <c r="Q308" i="3"/>
  <c r="P308" i="3"/>
  <c r="N308" i="3"/>
  <c r="Q307" i="3"/>
  <c r="P307" i="3"/>
  <c r="N307" i="3"/>
  <c r="Q306" i="3"/>
  <c r="P306" i="3"/>
  <c r="N306" i="3"/>
  <c r="Q305" i="3"/>
  <c r="N305" i="3"/>
  <c r="Q304" i="3"/>
  <c r="P304" i="3"/>
  <c r="N304" i="3"/>
  <c r="Q303" i="3"/>
  <c r="P303" i="3"/>
  <c r="N303" i="3"/>
  <c r="Q302" i="3"/>
  <c r="P302" i="3"/>
  <c r="N302" i="3"/>
  <c r="Q301" i="3"/>
  <c r="P301" i="3"/>
  <c r="N301" i="3"/>
  <c r="Q300" i="3"/>
  <c r="N300" i="3"/>
  <c r="Q299" i="3"/>
  <c r="P299" i="3"/>
  <c r="N299" i="3"/>
  <c r="Q298" i="3"/>
  <c r="P298" i="3"/>
  <c r="N298" i="3"/>
  <c r="Q297" i="3"/>
  <c r="N297" i="3"/>
  <c r="Q296" i="3"/>
  <c r="P296" i="3"/>
  <c r="N296" i="3"/>
  <c r="R295" i="3"/>
  <c r="Q295" i="3"/>
  <c r="N295" i="3"/>
  <c r="Q294" i="3"/>
  <c r="P294" i="3"/>
  <c r="N294" i="3"/>
  <c r="Q293" i="3"/>
  <c r="P293" i="3"/>
  <c r="N293" i="3"/>
  <c r="Q292" i="3"/>
  <c r="P292" i="3"/>
  <c r="N292" i="3"/>
  <c r="Q291" i="3"/>
  <c r="P291" i="3"/>
  <c r="N291" i="3"/>
  <c r="Q290" i="3"/>
  <c r="N290" i="3"/>
  <c r="Q289" i="3"/>
  <c r="P289" i="3"/>
  <c r="N289" i="3"/>
  <c r="Q288" i="3"/>
  <c r="P288" i="3"/>
  <c r="N288" i="3"/>
  <c r="Q287" i="3"/>
  <c r="P287" i="3"/>
  <c r="N287" i="3"/>
  <c r="R286" i="3"/>
  <c r="Q286" i="3"/>
  <c r="P286" i="3"/>
  <c r="N286" i="3"/>
  <c r="Q285" i="3"/>
  <c r="P285" i="3"/>
  <c r="N285" i="3"/>
  <c r="Q284" i="3"/>
  <c r="P284" i="3"/>
  <c r="N284" i="3"/>
  <c r="Q283" i="3"/>
  <c r="P283" i="3"/>
  <c r="N283" i="3"/>
  <c r="Q282" i="3"/>
  <c r="N282" i="3"/>
  <c r="Q281" i="3"/>
  <c r="P281" i="3"/>
  <c r="N281" i="3"/>
  <c r="Q280" i="3"/>
  <c r="P280" i="3"/>
  <c r="N280" i="3"/>
  <c r="Q279" i="3"/>
  <c r="P279" i="3"/>
  <c r="N279" i="3"/>
  <c r="Q278" i="3"/>
  <c r="P278" i="3"/>
  <c r="N278" i="3"/>
  <c r="Q277" i="3"/>
  <c r="P277" i="3"/>
  <c r="N277" i="3"/>
  <c r="Q276" i="3"/>
  <c r="P276" i="3"/>
  <c r="N276" i="3"/>
  <c r="Q275" i="3"/>
  <c r="P275" i="3"/>
  <c r="N275" i="3"/>
  <c r="Q274" i="3"/>
  <c r="N274" i="3"/>
  <c r="Q273" i="3"/>
  <c r="P273" i="3"/>
  <c r="N273" i="3"/>
  <c r="R272" i="3"/>
  <c r="Q272" i="3"/>
  <c r="P272" i="3"/>
  <c r="N272" i="3"/>
  <c r="Q271" i="3"/>
  <c r="P271" i="3"/>
  <c r="N271" i="3"/>
  <c r="Q270" i="3"/>
  <c r="P270" i="3"/>
  <c r="N270" i="3"/>
  <c r="Q269" i="3"/>
  <c r="P269" i="3"/>
  <c r="N269" i="3"/>
  <c r="Q268" i="3"/>
  <c r="P268" i="3"/>
  <c r="N268" i="3"/>
  <c r="Q267" i="3"/>
  <c r="P267" i="3"/>
  <c r="N267" i="3"/>
  <c r="Q266" i="3"/>
  <c r="N266" i="3"/>
  <c r="Q265" i="3"/>
  <c r="P265" i="3"/>
  <c r="N265" i="3"/>
  <c r="R264" i="3"/>
  <c r="Q264" i="3"/>
  <c r="P264" i="3"/>
  <c r="N264" i="3"/>
  <c r="Q263" i="3"/>
  <c r="P263" i="3"/>
  <c r="N263" i="3"/>
  <c r="Q262" i="3"/>
  <c r="P262" i="3"/>
  <c r="N262" i="3"/>
  <c r="Q261" i="3"/>
  <c r="P261" i="3"/>
  <c r="N261" i="3"/>
  <c r="Q260" i="3"/>
  <c r="P260" i="3"/>
  <c r="N260" i="3"/>
  <c r="Q259" i="3"/>
  <c r="P259" i="3"/>
  <c r="N259" i="3"/>
  <c r="Q258" i="3"/>
  <c r="N258" i="3"/>
  <c r="R257" i="3"/>
  <c r="Q257" i="3"/>
  <c r="P257" i="3"/>
  <c r="N257" i="3"/>
  <c r="Q256" i="3"/>
  <c r="P256" i="3"/>
  <c r="N256" i="3"/>
  <c r="Q255" i="3"/>
  <c r="P255" i="3"/>
  <c r="N255" i="3"/>
  <c r="Q254" i="3"/>
  <c r="P254" i="3"/>
  <c r="N254" i="3"/>
  <c r="R253" i="3"/>
  <c r="Q253" i="3"/>
  <c r="P253" i="3"/>
  <c r="N253" i="3"/>
  <c r="Q252" i="3"/>
  <c r="P252" i="3"/>
  <c r="N252" i="3"/>
  <c r="Q251" i="3"/>
  <c r="P251" i="3"/>
  <c r="N251" i="3"/>
  <c r="Q250" i="3"/>
  <c r="N250" i="3"/>
  <c r="Q249" i="3"/>
  <c r="P249" i="3"/>
  <c r="N249" i="3"/>
  <c r="Q248" i="3"/>
  <c r="P248" i="3"/>
  <c r="N248" i="3"/>
  <c r="R247" i="3"/>
  <c r="Q247" i="3"/>
  <c r="P247" i="3"/>
  <c r="N247" i="3"/>
  <c r="R246" i="3"/>
  <c r="Q246" i="3"/>
  <c r="P246" i="3"/>
  <c r="N246" i="3"/>
  <c r="Q245" i="3"/>
  <c r="P245" i="3"/>
  <c r="N245" i="3"/>
  <c r="Q244" i="3"/>
  <c r="P244" i="3"/>
  <c r="N244" i="3"/>
  <c r="R243" i="3"/>
  <c r="Q243" i="3"/>
  <c r="P243" i="3"/>
  <c r="N243" i="3"/>
  <c r="Q242" i="3"/>
  <c r="N242" i="3"/>
  <c r="R241" i="3"/>
  <c r="Q241" i="3"/>
  <c r="P241" i="3"/>
  <c r="N241" i="3"/>
  <c r="Q240" i="3"/>
  <c r="P240" i="3"/>
  <c r="N240" i="3"/>
  <c r="Q239" i="3"/>
  <c r="P239" i="3"/>
  <c r="N239" i="3"/>
  <c r="Q238" i="3"/>
  <c r="P238" i="3"/>
  <c r="N238" i="3"/>
  <c r="Q237" i="3"/>
  <c r="P237" i="3"/>
  <c r="N237" i="3"/>
  <c r="Q236" i="3"/>
  <c r="P236" i="3"/>
  <c r="N236" i="3"/>
  <c r="R235" i="3"/>
  <c r="Q235" i="3"/>
  <c r="P235" i="3"/>
  <c r="N235" i="3"/>
  <c r="Q234" i="3"/>
  <c r="N234" i="3"/>
  <c r="R233" i="3"/>
  <c r="Q233" i="3"/>
  <c r="P233" i="3"/>
  <c r="N233" i="3"/>
  <c r="Q232" i="3"/>
  <c r="P232" i="3"/>
  <c r="N232" i="3"/>
  <c r="R231" i="3"/>
  <c r="Q231" i="3"/>
  <c r="P231" i="3"/>
  <c r="N231" i="3"/>
  <c r="Q230" i="3"/>
  <c r="P230" i="3"/>
  <c r="N230" i="3"/>
  <c r="Q229" i="3"/>
  <c r="P229" i="3"/>
  <c r="N229" i="3"/>
  <c r="Q228" i="3"/>
  <c r="P228" i="3"/>
  <c r="N228" i="3"/>
  <c r="Q227" i="3"/>
  <c r="P227" i="3"/>
  <c r="N227" i="3"/>
  <c r="Q226" i="3"/>
  <c r="P226" i="3"/>
  <c r="N226" i="3"/>
  <c r="R225" i="3"/>
  <c r="Q225" i="3"/>
  <c r="P225" i="3"/>
  <c r="N225" i="3"/>
  <c r="Q224" i="3"/>
  <c r="P224" i="3"/>
  <c r="N224" i="3"/>
  <c r="R223" i="3"/>
  <c r="Q223" i="3"/>
  <c r="P223" i="3"/>
  <c r="N223" i="3"/>
  <c r="Q222" i="3"/>
  <c r="P222" i="3"/>
  <c r="N222" i="3"/>
  <c r="R221" i="3"/>
  <c r="Q221" i="3"/>
  <c r="P221" i="3"/>
  <c r="N221" i="3"/>
  <c r="Q220" i="3"/>
  <c r="P220" i="3"/>
  <c r="N220" i="3"/>
  <c r="Q219" i="3"/>
  <c r="P219" i="3"/>
  <c r="N219" i="3"/>
  <c r="R218" i="3"/>
  <c r="Q218" i="3"/>
  <c r="P218" i="3"/>
  <c r="N218" i="3"/>
  <c r="Q217" i="3"/>
  <c r="P217" i="3"/>
  <c r="N217" i="3"/>
  <c r="Q216" i="3"/>
  <c r="P216" i="3"/>
  <c r="N216" i="3"/>
  <c r="R215" i="3"/>
  <c r="Q215" i="3"/>
  <c r="P215" i="3"/>
  <c r="N215" i="3"/>
  <c r="Q214" i="3"/>
  <c r="P214" i="3"/>
  <c r="N214" i="3"/>
  <c r="Q213" i="3"/>
  <c r="P213" i="3"/>
  <c r="N213" i="3"/>
  <c r="Q212" i="3"/>
  <c r="P212" i="3"/>
  <c r="N212" i="3"/>
  <c r="Q211" i="3"/>
  <c r="P211" i="3"/>
  <c r="N211" i="3"/>
  <c r="R210" i="3"/>
  <c r="Q210" i="3"/>
  <c r="P210" i="3"/>
  <c r="N210" i="3"/>
  <c r="Q209" i="3"/>
  <c r="P209" i="3"/>
  <c r="N209" i="3"/>
  <c r="R208" i="3"/>
  <c r="Q208" i="3"/>
  <c r="P208" i="3"/>
  <c r="N208" i="3"/>
  <c r="R207" i="3"/>
  <c r="Q207" i="3"/>
  <c r="P207" i="3"/>
  <c r="N207" i="3"/>
  <c r="Q206" i="3"/>
  <c r="P206" i="3"/>
  <c r="N206" i="3"/>
  <c r="Q205" i="3"/>
  <c r="P205" i="3"/>
  <c r="N205" i="3"/>
  <c r="Q204" i="3"/>
  <c r="P204" i="3"/>
  <c r="N204" i="3"/>
  <c r="R203" i="3"/>
  <c r="Q203" i="3"/>
  <c r="P203" i="3"/>
  <c r="N203" i="3"/>
  <c r="R202" i="3"/>
  <c r="Q202" i="3"/>
  <c r="P202" i="3"/>
  <c r="N202" i="3"/>
  <c r="Q201" i="3"/>
  <c r="P201" i="3"/>
  <c r="N201" i="3"/>
  <c r="R200" i="3"/>
  <c r="Q200" i="3"/>
  <c r="P200" i="3"/>
  <c r="N200" i="3"/>
  <c r="Q199" i="3"/>
  <c r="P199" i="3"/>
  <c r="N199" i="3"/>
  <c r="Q198" i="3"/>
  <c r="P198" i="3"/>
  <c r="N198" i="3"/>
  <c r="Q197" i="3"/>
  <c r="P197" i="3"/>
  <c r="N197" i="3"/>
  <c r="R196" i="3"/>
  <c r="Q196" i="3"/>
  <c r="P196" i="3"/>
  <c r="N196" i="3"/>
  <c r="Q195" i="3"/>
  <c r="P195" i="3"/>
  <c r="N195" i="3"/>
  <c r="R194" i="3"/>
  <c r="Q194" i="3"/>
  <c r="P194" i="3"/>
  <c r="N194" i="3"/>
  <c r="Q193" i="3"/>
  <c r="P193" i="3"/>
  <c r="N193" i="3"/>
  <c r="R192" i="3"/>
  <c r="Q192" i="3"/>
  <c r="P192" i="3"/>
  <c r="N192" i="3"/>
  <c r="Q191" i="3"/>
  <c r="P191" i="3"/>
  <c r="N191" i="3"/>
  <c r="Q190" i="3"/>
  <c r="P190" i="3"/>
  <c r="N190" i="3"/>
  <c r="Q189" i="3"/>
  <c r="P189" i="3"/>
  <c r="N189" i="3"/>
  <c r="Q188" i="3"/>
  <c r="P188" i="3"/>
  <c r="N188" i="3"/>
  <c r="R187" i="3"/>
  <c r="Q187" i="3"/>
  <c r="P187" i="3"/>
  <c r="N187" i="3"/>
  <c r="Q186" i="3"/>
  <c r="P186" i="3"/>
  <c r="N186" i="3"/>
  <c r="R185" i="3"/>
  <c r="Q185" i="3"/>
  <c r="P185" i="3"/>
  <c r="N185" i="3"/>
  <c r="Q184" i="3"/>
  <c r="P184" i="3"/>
  <c r="N184" i="3"/>
  <c r="R183" i="3"/>
  <c r="Q183" i="3"/>
  <c r="P183" i="3"/>
  <c r="N183" i="3"/>
  <c r="Q182" i="3"/>
  <c r="P182" i="3"/>
  <c r="N182" i="3"/>
  <c r="Q181" i="3"/>
  <c r="P181" i="3"/>
  <c r="N181" i="3"/>
  <c r="Q180" i="3"/>
  <c r="P180" i="3"/>
  <c r="N180" i="3"/>
  <c r="R179" i="3"/>
  <c r="Q179" i="3"/>
  <c r="P179" i="3"/>
  <c r="N179" i="3"/>
  <c r="Q178" i="3"/>
  <c r="P178" i="3"/>
  <c r="N178" i="3"/>
  <c r="R177" i="3"/>
  <c r="Q177" i="3"/>
  <c r="P177" i="3"/>
  <c r="N177" i="3"/>
  <c r="Q176" i="3"/>
  <c r="P176" i="3"/>
  <c r="N176" i="3"/>
  <c r="R175" i="3"/>
  <c r="Q175" i="3"/>
  <c r="P175" i="3"/>
  <c r="N175" i="3"/>
  <c r="Q174" i="3"/>
  <c r="P174" i="3"/>
  <c r="N174" i="3"/>
  <c r="Q173" i="3"/>
  <c r="P173" i="3"/>
  <c r="N173" i="3"/>
  <c r="Q172" i="3"/>
  <c r="P172" i="3"/>
  <c r="N172" i="3"/>
  <c r="R171" i="3"/>
  <c r="Q171" i="3"/>
  <c r="P171" i="3"/>
  <c r="N171" i="3"/>
  <c r="Q170" i="3"/>
  <c r="P170" i="3"/>
  <c r="N170" i="3"/>
  <c r="R169" i="3"/>
  <c r="Q169" i="3"/>
  <c r="P169" i="3"/>
  <c r="N169" i="3"/>
  <c r="Q168" i="3"/>
  <c r="P168" i="3"/>
  <c r="N168" i="3"/>
  <c r="R167" i="3"/>
  <c r="Q167" i="3"/>
  <c r="P167" i="3"/>
  <c r="N167" i="3"/>
  <c r="Q166" i="3"/>
  <c r="P166" i="3"/>
  <c r="N166" i="3"/>
  <c r="Q165" i="3"/>
  <c r="P165" i="3"/>
  <c r="N165" i="3"/>
  <c r="Q164" i="3"/>
  <c r="P164" i="3"/>
  <c r="N164" i="3"/>
  <c r="R163" i="3"/>
  <c r="Q163" i="3"/>
  <c r="P163" i="3"/>
  <c r="N163" i="3"/>
  <c r="Q162" i="3"/>
  <c r="P162" i="3"/>
  <c r="N162" i="3"/>
  <c r="R161" i="3"/>
  <c r="Q161" i="3"/>
  <c r="P161" i="3"/>
  <c r="N161" i="3"/>
  <c r="Q160" i="3"/>
  <c r="P160" i="3"/>
  <c r="N160" i="3"/>
  <c r="R159" i="3"/>
  <c r="Q159" i="3"/>
  <c r="P159" i="3"/>
  <c r="N159" i="3"/>
  <c r="Q158" i="3"/>
  <c r="P158" i="3"/>
  <c r="N158" i="3"/>
  <c r="Q157" i="3"/>
  <c r="P157" i="3"/>
  <c r="N157" i="3"/>
  <c r="Q156" i="3"/>
  <c r="P156" i="3"/>
  <c r="N156" i="3"/>
  <c r="R155" i="3"/>
  <c r="Q155" i="3"/>
  <c r="P155" i="3"/>
  <c r="N155" i="3"/>
  <c r="Q154" i="3"/>
  <c r="P154" i="3"/>
  <c r="N154" i="3"/>
  <c r="R153" i="3"/>
  <c r="Q153" i="3"/>
  <c r="P153" i="3"/>
  <c r="N153" i="3"/>
  <c r="Q152" i="3"/>
  <c r="P152" i="3"/>
  <c r="N152" i="3"/>
  <c r="R151" i="3"/>
  <c r="Q151" i="3"/>
  <c r="P151" i="3"/>
  <c r="N151" i="3"/>
  <c r="Q150" i="3"/>
  <c r="P150" i="3"/>
  <c r="N150" i="3"/>
  <c r="Q149" i="3"/>
  <c r="P149" i="3"/>
  <c r="O149" i="3"/>
  <c r="N149" i="3"/>
  <c r="Q148" i="3"/>
  <c r="P148" i="3"/>
  <c r="N148" i="3"/>
  <c r="R147" i="3"/>
  <c r="Q147" i="3"/>
  <c r="P147" i="3"/>
  <c r="N147" i="3"/>
  <c r="Q146" i="3"/>
  <c r="P146" i="3"/>
  <c r="N146" i="3"/>
  <c r="R145" i="3"/>
  <c r="Q145" i="3"/>
  <c r="P145" i="3"/>
  <c r="N145" i="3"/>
  <c r="Q144" i="3"/>
  <c r="P144" i="3"/>
  <c r="N144" i="3"/>
  <c r="R143" i="3"/>
  <c r="Q143" i="3"/>
  <c r="P143" i="3"/>
  <c r="N143" i="3"/>
  <c r="Q142" i="3"/>
  <c r="P142" i="3"/>
  <c r="N142" i="3"/>
  <c r="Q141" i="3"/>
  <c r="P141" i="3"/>
  <c r="O141" i="3"/>
  <c r="N141" i="3"/>
  <c r="Q140" i="3"/>
  <c r="P140" i="3"/>
  <c r="N140" i="3"/>
  <c r="R139" i="3"/>
  <c r="Q139" i="3"/>
  <c r="P139" i="3"/>
  <c r="N139" i="3"/>
  <c r="Q138" i="3"/>
  <c r="P138" i="3"/>
  <c r="N138" i="3"/>
  <c r="R137" i="3"/>
  <c r="Q137" i="3"/>
  <c r="P137" i="3"/>
  <c r="N137" i="3"/>
  <c r="Q136" i="3"/>
  <c r="P136" i="3"/>
  <c r="N136" i="3"/>
  <c r="R135" i="3"/>
  <c r="Q135" i="3"/>
  <c r="P135" i="3"/>
  <c r="N135" i="3"/>
  <c r="Q134" i="3"/>
  <c r="P134" i="3"/>
  <c r="N134" i="3"/>
  <c r="Q133" i="3"/>
  <c r="P133" i="3"/>
  <c r="O133" i="3"/>
  <c r="N133" i="3"/>
  <c r="Q132" i="3"/>
  <c r="P132" i="3"/>
  <c r="N132" i="3"/>
  <c r="R131" i="3"/>
  <c r="Q131" i="3"/>
  <c r="P131" i="3"/>
  <c r="N131" i="3"/>
  <c r="Q130" i="3"/>
  <c r="P130" i="3"/>
  <c r="N130" i="3"/>
  <c r="R129" i="3"/>
  <c r="Q129" i="3"/>
  <c r="P129" i="3"/>
  <c r="N129" i="3"/>
  <c r="Q128" i="3"/>
  <c r="P128" i="3"/>
  <c r="N128" i="3"/>
  <c r="R127" i="3"/>
  <c r="Q127" i="3"/>
  <c r="P127" i="3"/>
  <c r="N127" i="3"/>
  <c r="Q126" i="3"/>
  <c r="P126" i="3"/>
  <c r="N126" i="3"/>
  <c r="Q125" i="3"/>
  <c r="P125" i="3"/>
  <c r="O125" i="3"/>
  <c r="N125" i="3"/>
  <c r="Q124" i="3"/>
  <c r="P124" i="3"/>
  <c r="N124" i="3"/>
  <c r="R123" i="3"/>
  <c r="Q123" i="3"/>
  <c r="P123" i="3"/>
  <c r="N123" i="3"/>
  <c r="Q122" i="3"/>
  <c r="P122" i="3"/>
  <c r="N122" i="3"/>
  <c r="R121" i="3"/>
  <c r="Q121" i="3"/>
  <c r="P121" i="3"/>
  <c r="N121" i="3"/>
  <c r="Q120" i="3"/>
  <c r="P120" i="3"/>
  <c r="N120" i="3"/>
  <c r="R119" i="3"/>
  <c r="Q119" i="3"/>
  <c r="P119" i="3"/>
  <c r="N119" i="3"/>
  <c r="Q118" i="3"/>
  <c r="P118" i="3"/>
  <c r="N118" i="3"/>
  <c r="Q117" i="3"/>
  <c r="P117" i="3"/>
  <c r="O117" i="3"/>
  <c r="N117" i="3"/>
  <c r="Q116" i="3"/>
  <c r="P116" i="3"/>
  <c r="N116" i="3"/>
  <c r="R115" i="3"/>
  <c r="Q115" i="3"/>
  <c r="P115" i="3"/>
  <c r="N115" i="3"/>
  <c r="Q114" i="3"/>
  <c r="P114" i="3"/>
  <c r="N114" i="3"/>
  <c r="R113" i="3"/>
  <c r="Q113" i="3"/>
  <c r="P113" i="3"/>
  <c r="N113" i="3"/>
  <c r="Q112" i="3"/>
  <c r="P112" i="3"/>
  <c r="N112" i="3"/>
  <c r="R111" i="3"/>
  <c r="Q111" i="3"/>
  <c r="P111" i="3"/>
  <c r="N111" i="3"/>
  <c r="R110" i="3"/>
  <c r="Q110" i="3"/>
  <c r="P110" i="3"/>
  <c r="N110" i="3"/>
  <c r="Q109" i="3"/>
  <c r="P109" i="3"/>
  <c r="O109" i="3"/>
  <c r="N109" i="3"/>
  <c r="Q108" i="3"/>
  <c r="P108" i="3"/>
  <c r="N108" i="3"/>
  <c r="R107" i="3"/>
  <c r="Q107" i="3"/>
  <c r="P107" i="3"/>
  <c r="N107" i="3"/>
  <c r="Q106" i="3"/>
  <c r="P106" i="3"/>
  <c r="N106" i="3"/>
  <c r="R105" i="3"/>
  <c r="Q105" i="3"/>
  <c r="P105" i="3"/>
  <c r="N105" i="3"/>
  <c r="Q104" i="3"/>
  <c r="P104" i="3"/>
  <c r="N104" i="3"/>
  <c r="R103" i="3"/>
  <c r="Q103" i="3"/>
  <c r="P103" i="3"/>
  <c r="N103" i="3"/>
  <c r="R102" i="3"/>
  <c r="Q102" i="3"/>
  <c r="P102" i="3"/>
  <c r="N102" i="3"/>
  <c r="Q101" i="3"/>
  <c r="P101" i="3"/>
  <c r="O101" i="3"/>
  <c r="N101" i="3"/>
  <c r="Q100" i="3"/>
  <c r="P100" i="3"/>
  <c r="N100" i="3"/>
  <c r="R99" i="3"/>
  <c r="Q99" i="3"/>
  <c r="P99" i="3"/>
  <c r="N99" i="3"/>
  <c r="Q98" i="3"/>
  <c r="P98" i="3"/>
  <c r="N98" i="3"/>
  <c r="R97" i="3"/>
  <c r="Q97" i="3"/>
  <c r="P97" i="3"/>
  <c r="N97" i="3"/>
  <c r="Q96" i="3"/>
  <c r="P96" i="3"/>
  <c r="N96" i="3"/>
  <c r="R95" i="3"/>
  <c r="Q95" i="3"/>
  <c r="P95" i="3"/>
  <c r="N95" i="3"/>
  <c r="R94" i="3"/>
  <c r="Q94" i="3"/>
  <c r="P94" i="3"/>
  <c r="N94" i="3"/>
  <c r="Q93" i="3"/>
  <c r="P93" i="3"/>
  <c r="O93" i="3"/>
  <c r="N93" i="3"/>
  <c r="Q92" i="3"/>
  <c r="P92" i="3"/>
  <c r="N92" i="3"/>
  <c r="R91" i="3"/>
  <c r="Q91" i="3"/>
  <c r="P91" i="3"/>
  <c r="N91" i="3"/>
  <c r="Q90" i="3"/>
  <c r="P90" i="3"/>
  <c r="N90" i="3"/>
  <c r="R89" i="3"/>
  <c r="Q89" i="3"/>
  <c r="P89" i="3"/>
  <c r="N89" i="3"/>
  <c r="Q88" i="3"/>
  <c r="P88" i="3"/>
  <c r="N88" i="3"/>
  <c r="R87" i="3"/>
  <c r="Q87" i="3"/>
  <c r="P87" i="3"/>
  <c r="N87" i="3"/>
  <c r="R86" i="3"/>
  <c r="Q86" i="3"/>
  <c r="P86" i="3"/>
  <c r="N86" i="3"/>
  <c r="Q85" i="3"/>
  <c r="P85" i="3"/>
  <c r="O85" i="3"/>
  <c r="N85" i="3"/>
  <c r="Q84" i="3"/>
  <c r="P84" i="3"/>
  <c r="N84" i="3"/>
  <c r="R83" i="3"/>
  <c r="Q83" i="3"/>
  <c r="P83" i="3"/>
  <c r="N83" i="3"/>
  <c r="Q82" i="3"/>
  <c r="P82" i="3"/>
  <c r="N82" i="3"/>
  <c r="R81" i="3"/>
  <c r="Q81" i="3"/>
  <c r="P81" i="3"/>
  <c r="N81" i="3"/>
  <c r="Q80" i="3"/>
  <c r="P80" i="3"/>
  <c r="N80" i="3"/>
  <c r="R79" i="3"/>
  <c r="Q79" i="3"/>
  <c r="P79" i="3"/>
  <c r="N79" i="3"/>
  <c r="R78" i="3"/>
  <c r="Q78" i="3"/>
  <c r="P78" i="3"/>
  <c r="N78" i="3"/>
  <c r="Q77" i="3"/>
  <c r="P77" i="3"/>
  <c r="O77" i="3"/>
  <c r="N77" i="3"/>
  <c r="Q76" i="3"/>
  <c r="P76" i="3"/>
  <c r="N76" i="3"/>
  <c r="R75" i="3"/>
  <c r="Q75" i="3"/>
  <c r="P75" i="3"/>
  <c r="N75" i="3"/>
  <c r="Q74" i="3"/>
  <c r="P74" i="3"/>
  <c r="N74" i="3"/>
  <c r="R73" i="3"/>
  <c r="Q73" i="3"/>
  <c r="P73" i="3"/>
  <c r="N73" i="3"/>
  <c r="Q72" i="3"/>
  <c r="P72" i="3"/>
  <c r="N72" i="3"/>
  <c r="R71" i="3"/>
  <c r="Q71" i="3"/>
  <c r="P71" i="3"/>
  <c r="N71" i="3"/>
  <c r="R70" i="3"/>
  <c r="Q70" i="3"/>
  <c r="P70" i="3"/>
  <c r="N70" i="3"/>
  <c r="Q69" i="3"/>
  <c r="P69" i="3"/>
  <c r="O69" i="3"/>
  <c r="N69" i="3"/>
  <c r="Q68" i="3"/>
  <c r="P68" i="3"/>
  <c r="N68" i="3"/>
  <c r="R67" i="3"/>
  <c r="Q67" i="3"/>
  <c r="P67" i="3"/>
  <c r="N67" i="3"/>
  <c r="Q66" i="3"/>
  <c r="P66" i="3"/>
  <c r="N66" i="3"/>
  <c r="R65" i="3"/>
  <c r="Q65" i="3"/>
  <c r="P65" i="3"/>
  <c r="N65" i="3"/>
  <c r="Q64" i="3"/>
  <c r="P64" i="3"/>
  <c r="N64" i="3"/>
  <c r="R63" i="3"/>
  <c r="Q63" i="3"/>
  <c r="P63" i="3"/>
  <c r="N63" i="3"/>
  <c r="R62" i="3"/>
  <c r="Q62" i="3"/>
  <c r="P62" i="3"/>
  <c r="N62" i="3"/>
  <c r="Q61" i="3"/>
  <c r="P61" i="3"/>
  <c r="O61" i="3"/>
  <c r="N61" i="3"/>
  <c r="Q60" i="3"/>
  <c r="P60" i="3"/>
  <c r="N60" i="3"/>
  <c r="R59" i="3"/>
  <c r="Q59" i="3"/>
  <c r="P59" i="3"/>
  <c r="N59" i="3"/>
  <c r="Q58" i="3"/>
  <c r="P58" i="3"/>
  <c r="N58" i="3"/>
  <c r="R57" i="3"/>
  <c r="Q57" i="3"/>
  <c r="P57" i="3"/>
  <c r="N57" i="3"/>
  <c r="Q56" i="3"/>
  <c r="P56" i="3"/>
  <c r="N56" i="3"/>
  <c r="R55" i="3"/>
  <c r="Q55" i="3"/>
  <c r="P55" i="3"/>
  <c r="N55" i="3"/>
  <c r="R54" i="3"/>
  <c r="Q54" i="3"/>
  <c r="P54" i="3"/>
  <c r="N54" i="3"/>
  <c r="Q53" i="3"/>
  <c r="P53" i="3"/>
  <c r="O53" i="3"/>
  <c r="N53" i="3"/>
  <c r="Q52" i="3"/>
  <c r="P52" i="3"/>
  <c r="N52" i="3"/>
  <c r="R51" i="3"/>
  <c r="Q51" i="3"/>
  <c r="P51" i="3"/>
  <c r="N51" i="3"/>
  <c r="Q50" i="3"/>
  <c r="P50" i="3"/>
  <c r="N50" i="3"/>
  <c r="R49" i="3"/>
  <c r="Q49" i="3"/>
  <c r="P49" i="3"/>
  <c r="N49" i="3"/>
  <c r="Q48" i="3"/>
  <c r="P48" i="3"/>
  <c r="N48" i="3"/>
  <c r="R47" i="3"/>
  <c r="Q47" i="3"/>
  <c r="P47" i="3"/>
  <c r="N47" i="3"/>
  <c r="R46" i="3"/>
  <c r="Q46" i="3"/>
  <c r="P46" i="3"/>
  <c r="N46" i="3"/>
  <c r="Q45" i="3"/>
  <c r="P45" i="3"/>
  <c r="O45" i="3"/>
  <c r="N45" i="3"/>
  <c r="Q44" i="3"/>
  <c r="P44" i="3"/>
  <c r="N44" i="3"/>
  <c r="R43" i="3"/>
  <c r="Q43" i="3"/>
  <c r="P43" i="3"/>
  <c r="N43" i="3"/>
  <c r="Q42" i="3"/>
  <c r="P42" i="3"/>
  <c r="N42" i="3"/>
  <c r="R41" i="3"/>
  <c r="Q41" i="3"/>
  <c r="P41" i="3"/>
  <c r="N41" i="3"/>
  <c r="Q40" i="3"/>
  <c r="P40" i="3"/>
  <c r="N40" i="3"/>
  <c r="R39" i="3"/>
  <c r="Q39" i="3"/>
  <c r="P39" i="3"/>
  <c r="N39" i="3"/>
  <c r="R38" i="3"/>
  <c r="Q38" i="3"/>
  <c r="P38" i="3"/>
  <c r="N38" i="3"/>
  <c r="Q37" i="3"/>
  <c r="P37" i="3"/>
  <c r="O37" i="3"/>
  <c r="N37" i="3"/>
  <c r="Q36" i="3"/>
  <c r="P36" i="3"/>
  <c r="N36" i="3"/>
  <c r="R35" i="3"/>
  <c r="Q35" i="3"/>
  <c r="P35" i="3"/>
  <c r="N35" i="3"/>
  <c r="Q34" i="3"/>
  <c r="P34" i="3"/>
  <c r="N34" i="3"/>
  <c r="R33" i="3"/>
  <c r="Q33" i="3"/>
  <c r="P33" i="3"/>
  <c r="N33" i="3"/>
  <c r="Q32" i="3"/>
  <c r="P32" i="3"/>
  <c r="N32" i="3"/>
  <c r="R31" i="3"/>
  <c r="Q31" i="3"/>
  <c r="P31" i="3"/>
  <c r="N31" i="3"/>
  <c r="R30" i="3"/>
  <c r="Q30" i="3"/>
  <c r="P30" i="3"/>
  <c r="N30" i="3"/>
  <c r="Q29" i="3"/>
  <c r="P29" i="3"/>
  <c r="O29" i="3"/>
  <c r="N29" i="3"/>
  <c r="Q28" i="3"/>
  <c r="P28" i="3"/>
  <c r="N28" i="3"/>
  <c r="R27" i="3"/>
  <c r="Q27" i="3"/>
  <c r="P27" i="3"/>
  <c r="N27" i="3"/>
  <c r="Q26" i="3"/>
  <c r="P26" i="3"/>
  <c r="N26" i="3"/>
  <c r="R25" i="3"/>
  <c r="Q25" i="3"/>
  <c r="P25" i="3"/>
  <c r="N25" i="3"/>
  <c r="Q24" i="3"/>
  <c r="P24" i="3"/>
  <c r="N24" i="3"/>
  <c r="R23" i="3"/>
  <c r="Q23" i="3"/>
  <c r="P23" i="3"/>
  <c r="N23" i="3"/>
  <c r="R22" i="3"/>
  <c r="Q22" i="3"/>
  <c r="P22" i="3"/>
  <c r="N22" i="3"/>
  <c r="Q21" i="3"/>
  <c r="P21" i="3"/>
  <c r="O21" i="3"/>
  <c r="N21" i="3"/>
  <c r="Q20" i="3"/>
  <c r="P20" i="3"/>
  <c r="N20" i="3"/>
  <c r="R19" i="3"/>
  <c r="Q19" i="3"/>
  <c r="P19" i="3"/>
  <c r="N19" i="3"/>
  <c r="Q18" i="3"/>
  <c r="P18" i="3"/>
  <c r="N18" i="3"/>
  <c r="R17" i="3"/>
  <c r="Q17" i="3"/>
  <c r="P17" i="3"/>
  <c r="N17" i="3"/>
  <c r="Q16" i="3"/>
  <c r="P16" i="3"/>
  <c r="N16" i="3"/>
  <c r="R15" i="3"/>
  <c r="Q15" i="3"/>
  <c r="P15" i="3"/>
  <c r="N15" i="3"/>
  <c r="R14" i="3"/>
  <c r="Q14" i="3"/>
  <c r="P14" i="3"/>
  <c r="N14" i="3"/>
  <c r="Q13" i="3"/>
  <c r="P13" i="3"/>
  <c r="O13" i="3"/>
  <c r="N13" i="3"/>
  <c r="Q12" i="3"/>
  <c r="P12" i="3"/>
  <c r="N12" i="3"/>
  <c r="R11" i="3"/>
  <c r="Q11" i="3"/>
  <c r="P11" i="3"/>
  <c r="N11" i="3"/>
  <c r="Q10" i="3"/>
  <c r="P10" i="3"/>
  <c r="N10" i="3"/>
  <c r="R9" i="3"/>
  <c r="Q9" i="3"/>
  <c r="P9" i="3"/>
  <c r="N9" i="3"/>
  <c r="Q8" i="3"/>
  <c r="P8" i="3"/>
  <c r="N8" i="3"/>
  <c r="R7" i="3"/>
  <c r="Q7" i="3"/>
  <c r="P7" i="3"/>
  <c r="N7" i="3"/>
  <c r="R6" i="3"/>
  <c r="Q6" i="3"/>
  <c r="P6" i="3"/>
  <c r="N6" i="3"/>
  <c r="Q5" i="3"/>
  <c r="P5" i="3"/>
  <c r="O5" i="3"/>
  <c r="N5" i="3"/>
  <c r="Q4" i="3"/>
  <c r="P4" i="3"/>
  <c r="N4" i="3"/>
  <c r="R3" i="3"/>
  <c r="Q3" i="3"/>
  <c r="P3" i="3"/>
  <c r="N3" i="3"/>
  <c r="Q2" i="3"/>
  <c r="P2" i="3"/>
  <c r="N2" i="3"/>
  <c r="G45" i="2"/>
  <c r="J7" i="2" s="1"/>
  <c r="F45" i="2"/>
  <c r="I42" i="2" s="1"/>
  <c r="E45" i="2"/>
  <c r="G44" i="2"/>
  <c r="F44" i="2"/>
  <c r="E44" i="2"/>
  <c r="K43" i="2"/>
  <c r="K42" i="2"/>
  <c r="K41" i="2"/>
  <c r="I41" i="2"/>
  <c r="K40" i="2"/>
  <c r="K39" i="2"/>
  <c r="K38" i="2"/>
  <c r="K37" i="2"/>
  <c r="K36" i="2"/>
  <c r="I36" i="2"/>
  <c r="K35" i="2"/>
  <c r="K34" i="2"/>
  <c r="K33" i="2"/>
  <c r="K32" i="2"/>
  <c r="K31" i="2"/>
  <c r="K30" i="2"/>
  <c r="I30" i="2"/>
  <c r="K29" i="2"/>
  <c r="K28" i="2"/>
  <c r="K27" i="2"/>
  <c r="K26" i="2"/>
  <c r="K25" i="2"/>
  <c r="I25" i="2"/>
  <c r="K24" i="2"/>
  <c r="K23" i="2"/>
  <c r="K22" i="2"/>
  <c r="K21" i="2"/>
  <c r="K20" i="2"/>
  <c r="I20" i="2"/>
  <c r="K19" i="2"/>
  <c r="K18" i="2"/>
  <c r="K17" i="2"/>
  <c r="K16" i="2"/>
  <c r="K15" i="2"/>
  <c r="K14" i="2"/>
  <c r="I14" i="2"/>
  <c r="K13" i="2"/>
  <c r="K12" i="2"/>
  <c r="I12" i="2"/>
  <c r="K11" i="2"/>
  <c r="K10" i="2"/>
  <c r="K9" i="2"/>
  <c r="I9" i="2"/>
  <c r="K8" i="2"/>
  <c r="K7" i="2"/>
  <c r="K6" i="2"/>
  <c r="K5" i="2"/>
  <c r="K4" i="2"/>
  <c r="I4" i="2"/>
  <c r="K3" i="2"/>
  <c r="K2" i="2"/>
  <c r="S318" i="3" l="1"/>
  <c r="T318" i="3" s="1"/>
  <c r="S151" i="3"/>
  <c r="T151" i="3" s="1"/>
  <c r="O165" i="3"/>
  <c r="O173" i="3"/>
  <c r="S173" i="3" s="1"/>
  <c r="T173" i="3" s="1"/>
  <c r="O181" i="3"/>
  <c r="O190" i="3"/>
  <c r="S192" i="3"/>
  <c r="T192" i="3" s="1"/>
  <c r="S198" i="3"/>
  <c r="T198" i="3" s="1"/>
  <c r="S207" i="3"/>
  <c r="T207" i="3" s="1"/>
  <c r="S235" i="3"/>
  <c r="T235" i="3" s="1"/>
  <c r="O271" i="3"/>
  <c r="O316" i="3"/>
  <c r="P16" i="4"/>
  <c r="Q16" i="4" s="1"/>
  <c r="P115" i="4"/>
  <c r="Q115" i="4" s="1"/>
  <c r="S29" i="3"/>
  <c r="T29" i="3" s="1"/>
  <c r="S61" i="3"/>
  <c r="T61" i="3" s="1"/>
  <c r="S93" i="3"/>
  <c r="T93" i="3" s="1"/>
  <c r="R118" i="3"/>
  <c r="R126" i="3"/>
  <c r="S133" i="3"/>
  <c r="T133" i="3" s="1"/>
  <c r="R134" i="3"/>
  <c r="S134" i="3" s="1"/>
  <c r="T134" i="3" s="1"/>
  <c r="R142" i="3"/>
  <c r="R150" i="3"/>
  <c r="R158" i="3"/>
  <c r="S165" i="3"/>
  <c r="T165" i="3" s="1"/>
  <c r="R166" i="3"/>
  <c r="S166" i="3" s="1"/>
  <c r="T166" i="3" s="1"/>
  <c r="R174" i="3"/>
  <c r="R182" i="3"/>
  <c r="S182" i="3" s="1"/>
  <c r="T182" i="3" s="1"/>
  <c r="O198" i="3"/>
  <c r="O202" i="3"/>
  <c r="O206" i="3"/>
  <c r="S208" i="3"/>
  <c r="T208" i="3" s="1"/>
  <c r="R211" i="3"/>
  <c r="R230" i="3"/>
  <c r="O237" i="3"/>
  <c r="S237" i="3" s="1"/>
  <c r="T237" i="3" s="1"/>
  <c r="O246" i="3"/>
  <c r="O250" i="3"/>
  <c r="R259" i="3"/>
  <c r="S259" i="3" s="1"/>
  <c r="T259" i="3" s="1"/>
  <c r="R261" i="3"/>
  <c r="S261" i="3" s="1"/>
  <c r="T261" i="3" s="1"/>
  <c r="R266" i="3"/>
  <c r="O269" i="3"/>
  <c r="R278" i="3"/>
  <c r="O71" i="4"/>
  <c r="O172" i="4"/>
  <c r="S119" i="3"/>
  <c r="T119" i="3" s="1"/>
  <c r="O324" i="3"/>
  <c r="S324" i="3" s="1"/>
  <c r="T324" i="3" s="1"/>
  <c r="O315" i="3"/>
  <c r="O287" i="3"/>
  <c r="O278" i="3"/>
  <c r="S278" i="3" s="1"/>
  <c r="T278" i="3" s="1"/>
  <c r="O274" i="3"/>
  <c r="O267" i="3"/>
  <c r="O262" i="3"/>
  <c r="O323" i="3"/>
  <c r="O321" i="3"/>
  <c r="O317" i="3"/>
  <c r="O300" i="3"/>
  <c r="O285" i="3"/>
  <c r="O276" i="3"/>
  <c r="O272" i="3"/>
  <c r="S272" i="3" s="1"/>
  <c r="T272" i="3" s="1"/>
  <c r="O260" i="3"/>
  <c r="O311" i="3"/>
  <c r="S311" i="3" s="1"/>
  <c r="T311" i="3" s="1"/>
  <c r="O307" i="3"/>
  <c r="O305" i="3"/>
  <c r="O303" i="3"/>
  <c r="O301" i="3"/>
  <c r="O297" i="3"/>
  <c r="O291" i="3"/>
  <c r="O318" i="3"/>
  <c r="O313" i="3"/>
  <c r="O270" i="3"/>
  <c r="O253" i="3"/>
  <c r="O231" i="3"/>
  <c r="O223" i="3"/>
  <c r="O218" i="3"/>
  <c r="O200" i="3"/>
  <c r="O194" i="3"/>
  <c r="O185" i="3"/>
  <c r="S185" i="3" s="1"/>
  <c r="T185" i="3" s="1"/>
  <c r="O177" i="3"/>
  <c r="S177" i="3" s="1"/>
  <c r="T177" i="3" s="1"/>
  <c r="O169" i="3"/>
  <c r="S169" i="3" s="1"/>
  <c r="T169" i="3" s="1"/>
  <c r="O161" i="3"/>
  <c r="S161" i="3" s="1"/>
  <c r="T161" i="3" s="1"/>
  <c r="O153" i="3"/>
  <c r="S153" i="3" s="1"/>
  <c r="T153" i="3" s="1"/>
  <c r="O145" i="3"/>
  <c r="S145" i="3" s="1"/>
  <c r="T145" i="3" s="1"/>
  <c r="O137" i="3"/>
  <c r="S137" i="3" s="1"/>
  <c r="T137" i="3" s="1"/>
  <c r="O129" i="3"/>
  <c r="S129" i="3" s="1"/>
  <c r="T129" i="3" s="1"/>
  <c r="O121" i="3"/>
  <c r="S121" i="3" s="1"/>
  <c r="T121" i="3" s="1"/>
  <c r="O113" i="3"/>
  <c r="S113" i="3" s="1"/>
  <c r="T113" i="3" s="1"/>
  <c r="O105" i="3"/>
  <c r="S105" i="3" s="1"/>
  <c r="T105" i="3" s="1"/>
  <c r="O97" i="3"/>
  <c r="S97" i="3" s="1"/>
  <c r="T97" i="3" s="1"/>
  <c r="O89" i="3"/>
  <c r="S89" i="3" s="1"/>
  <c r="T89" i="3" s="1"/>
  <c r="O81" i="3"/>
  <c r="S81" i="3" s="1"/>
  <c r="T81" i="3" s="1"/>
  <c r="O73" i="3"/>
  <c r="S73" i="3" s="1"/>
  <c r="T73" i="3" s="1"/>
  <c r="O65" i="3"/>
  <c r="S65" i="3" s="1"/>
  <c r="T65" i="3" s="1"/>
  <c r="O57" i="3"/>
  <c r="S57" i="3" s="1"/>
  <c r="T57" i="3" s="1"/>
  <c r="O49" i="3"/>
  <c r="S49" i="3" s="1"/>
  <c r="T49" i="3" s="1"/>
  <c r="O41" i="3"/>
  <c r="S41" i="3" s="1"/>
  <c r="T41" i="3" s="1"/>
  <c r="O33" i="3"/>
  <c r="S33" i="3" s="1"/>
  <c r="T33" i="3" s="1"/>
  <c r="O25" i="3"/>
  <c r="S25" i="3" s="1"/>
  <c r="T25" i="3" s="1"/>
  <c r="O17" i="3"/>
  <c r="S17" i="3" s="1"/>
  <c r="T17" i="3" s="1"/>
  <c r="O9" i="3"/>
  <c r="S9" i="3" s="1"/>
  <c r="T9" i="3" s="1"/>
  <c r="O308" i="3"/>
  <c r="O286" i="3"/>
  <c r="O264" i="3"/>
  <c r="S264" i="3" s="1"/>
  <c r="T264" i="3" s="1"/>
  <c r="O258" i="3"/>
  <c r="O242" i="3"/>
  <c r="O203" i="3"/>
  <c r="S203" i="3" s="1"/>
  <c r="T203" i="3" s="1"/>
  <c r="O192" i="3"/>
  <c r="O183" i="3"/>
  <c r="O175" i="3"/>
  <c r="O167" i="3"/>
  <c r="O159" i="3"/>
  <c r="S159" i="3" s="1"/>
  <c r="T159" i="3" s="1"/>
  <c r="O135" i="3"/>
  <c r="O119" i="3"/>
  <c r="O103" i="3"/>
  <c r="S103" i="3" s="1"/>
  <c r="T103" i="3" s="1"/>
  <c r="O87" i="3"/>
  <c r="S87" i="3" s="1"/>
  <c r="T87" i="3" s="1"/>
  <c r="O23" i="3"/>
  <c r="O322" i="3"/>
  <c r="O306" i="3"/>
  <c r="O290" i="3"/>
  <c r="O288" i="3"/>
  <c r="O284" i="3"/>
  <c r="O280" i="3"/>
  <c r="O268" i="3"/>
  <c r="O266" i="3"/>
  <c r="O251" i="3"/>
  <c r="O244" i="3"/>
  <c r="O239" i="3"/>
  <c r="O226" i="3"/>
  <c r="O216" i="3"/>
  <c r="O213" i="3"/>
  <c r="O205" i="3"/>
  <c r="O197" i="3"/>
  <c r="O188" i="3"/>
  <c r="O180" i="3"/>
  <c r="O172" i="3"/>
  <c r="O164" i="3"/>
  <c r="O156" i="3"/>
  <c r="O148" i="3"/>
  <c r="O140" i="3"/>
  <c r="O132" i="3"/>
  <c r="O124" i="3"/>
  <c r="O116" i="3"/>
  <c r="O108" i="3"/>
  <c r="O100" i="3"/>
  <c r="O92" i="3"/>
  <c r="O84" i="3"/>
  <c r="O76" i="3"/>
  <c r="O68" i="3"/>
  <c r="O60" i="3"/>
  <c r="O52" i="3"/>
  <c r="O44" i="3"/>
  <c r="O36" i="3"/>
  <c r="O28" i="3"/>
  <c r="O20" i="3"/>
  <c r="O12" i="3"/>
  <c r="O4" i="3"/>
  <c r="O282" i="3"/>
  <c r="O256" i="3"/>
  <c r="S256" i="3" s="1"/>
  <c r="T256" i="3" s="1"/>
  <c r="O247" i="3"/>
  <c r="O234" i="3"/>
  <c r="O221" i="3"/>
  <c r="S221" i="3" s="1"/>
  <c r="T221" i="3" s="1"/>
  <c r="O211" i="3"/>
  <c r="O208" i="3"/>
  <c r="O151" i="3"/>
  <c r="O143" i="3"/>
  <c r="O127" i="3"/>
  <c r="S127" i="3" s="1"/>
  <c r="T127" i="3" s="1"/>
  <c r="O111" i="3"/>
  <c r="S111" i="3" s="1"/>
  <c r="T111" i="3" s="1"/>
  <c r="O95" i="3"/>
  <c r="O79" i="3"/>
  <c r="S79" i="3" s="1"/>
  <c r="T79" i="3" s="1"/>
  <c r="O71" i="3"/>
  <c r="O63" i="3"/>
  <c r="S63" i="3" s="1"/>
  <c r="T63" i="3" s="1"/>
  <c r="O55" i="3"/>
  <c r="O47" i="3"/>
  <c r="O39" i="3"/>
  <c r="O31" i="3"/>
  <c r="S31" i="3" s="1"/>
  <c r="T31" i="3" s="1"/>
  <c r="O15" i="3"/>
  <c r="S15" i="3" s="1"/>
  <c r="T15" i="3" s="1"/>
  <c r="O7" i="3"/>
  <c r="S7" i="3" s="1"/>
  <c r="T7" i="3" s="1"/>
  <c r="O254" i="3"/>
  <c r="O292" i="3"/>
  <c r="S292" i="3" s="1"/>
  <c r="T292" i="3" s="1"/>
  <c r="O302" i="3"/>
  <c r="O295" i="3"/>
  <c r="O293" i="3"/>
  <c r="O283" i="3"/>
  <c r="S283" i="3" s="1"/>
  <c r="T283" i="3" s="1"/>
  <c r="O277" i="3"/>
  <c r="O263" i="3"/>
  <c r="O255" i="3"/>
  <c r="S255" i="3" s="1"/>
  <c r="T255" i="3" s="1"/>
  <c r="O243" i="3"/>
  <c r="O238" i="3"/>
  <c r="O235" i="3"/>
  <c r="O230" i="3"/>
  <c r="S230" i="3" s="1"/>
  <c r="T230" i="3" s="1"/>
  <c r="O220" i="3"/>
  <c r="O215" i="3"/>
  <c r="O196" i="3"/>
  <c r="O187" i="3"/>
  <c r="O179" i="3"/>
  <c r="S179" i="3" s="1"/>
  <c r="T179" i="3" s="1"/>
  <c r="O171" i="3"/>
  <c r="O163" i="3"/>
  <c r="O155" i="3"/>
  <c r="O147" i="3"/>
  <c r="S147" i="3" s="1"/>
  <c r="T147" i="3" s="1"/>
  <c r="O139" i="3"/>
  <c r="O131" i="3"/>
  <c r="S131" i="3" s="1"/>
  <c r="T131" i="3" s="1"/>
  <c r="O123" i="3"/>
  <c r="S123" i="3" s="1"/>
  <c r="T123" i="3" s="1"/>
  <c r="O115" i="3"/>
  <c r="O107" i="3"/>
  <c r="O99" i="3"/>
  <c r="O91" i="3"/>
  <c r="S91" i="3" s="1"/>
  <c r="T91" i="3" s="1"/>
  <c r="O83" i="3"/>
  <c r="S83" i="3" s="1"/>
  <c r="T83" i="3" s="1"/>
  <c r="O75" i="3"/>
  <c r="O67" i="3"/>
  <c r="S67" i="3" s="1"/>
  <c r="T67" i="3" s="1"/>
  <c r="O59" i="3"/>
  <c r="S59" i="3" s="1"/>
  <c r="T59" i="3" s="1"/>
  <c r="O51" i="3"/>
  <c r="O43" i="3"/>
  <c r="O35" i="3"/>
  <c r="O27" i="3"/>
  <c r="S27" i="3" s="1"/>
  <c r="T27" i="3" s="1"/>
  <c r="O19" i="3"/>
  <c r="S19" i="3" s="1"/>
  <c r="T19" i="3" s="1"/>
  <c r="O11" i="3"/>
  <c r="O3" i="3"/>
  <c r="S3" i="3" s="1"/>
  <c r="T3" i="3" s="1"/>
  <c r="S175" i="3"/>
  <c r="T175" i="3" s="1"/>
  <c r="S39" i="3"/>
  <c r="T39" i="3" s="1"/>
  <c r="S215" i="3"/>
  <c r="T215" i="3" s="1"/>
  <c r="S143" i="3"/>
  <c r="T143" i="3" s="1"/>
  <c r="O210" i="3"/>
  <c r="O214" i="3"/>
  <c r="S202" i="3"/>
  <c r="T202" i="3" s="1"/>
  <c r="O212" i="3"/>
  <c r="O229" i="3"/>
  <c r="S248" i="3"/>
  <c r="T248" i="3" s="1"/>
  <c r="O279" i="3"/>
  <c r="O298" i="3"/>
  <c r="S298" i="3" s="1"/>
  <c r="T298" i="3" s="1"/>
  <c r="S11" i="3"/>
  <c r="T11" i="3" s="1"/>
  <c r="S35" i="3"/>
  <c r="T35" i="3" s="1"/>
  <c r="S51" i="3"/>
  <c r="T51" i="3" s="1"/>
  <c r="S99" i="3"/>
  <c r="T99" i="3" s="1"/>
  <c r="S115" i="3"/>
  <c r="T115" i="3" s="1"/>
  <c r="S139" i="3"/>
  <c r="T139" i="3" s="1"/>
  <c r="S155" i="3"/>
  <c r="T155" i="3" s="1"/>
  <c r="S171" i="3"/>
  <c r="T171" i="3" s="1"/>
  <c r="O193" i="3"/>
  <c r="O236" i="3"/>
  <c r="O6" i="3"/>
  <c r="O38" i="3"/>
  <c r="O46" i="3"/>
  <c r="O62" i="3"/>
  <c r="O70" i="3"/>
  <c r="S70" i="3" s="1"/>
  <c r="T70" i="3" s="1"/>
  <c r="O86" i="3"/>
  <c r="O110" i="3"/>
  <c r="O126" i="3"/>
  <c r="O142" i="3"/>
  <c r="O150" i="3"/>
  <c r="O158" i="3"/>
  <c r="O166" i="3"/>
  <c r="O174" i="3"/>
  <c r="O182" i="3"/>
  <c r="O199" i="3"/>
  <c r="S211" i="3"/>
  <c r="T211" i="3" s="1"/>
  <c r="O230" i="4"/>
  <c r="P230" i="4" s="1"/>
  <c r="Q230" i="4" s="1"/>
  <c r="O227" i="4"/>
  <c r="O180" i="4"/>
  <c r="O155" i="4"/>
  <c r="O135" i="4"/>
  <c r="O170" i="4"/>
  <c r="O157" i="4"/>
  <c r="P157" i="4" s="1"/>
  <c r="Q157" i="4" s="1"/>
  <c r="O100" i="4"/>
  <c r="O86" i="4"/>
  <c r="O75" i="4"/>
  <c r="O23" i="4"/>
  <c r="O20" i="4"/>
  <c r="O13" i="4"/>
  <c r="O7" i="4"/>
  <c r="O4" i="4"/>
  <c r="O153" i="4"/>
  <c r="P153" i="4" s="1"/>
  <c r="Q153" i="4" s="1"/>
  <c r="O141" i="4"/>
  <c r="O137" i="4"/>
  <c r="O119" i="4"/>
  <c r="P119" i="4" s="1"/>
  <c r="Q119" i="4" s="1"/>
  <c r="O112" i="4"/>
  <c r="P112" i="4" s="1"/>
  <c r="Q112" i="4" s="1"/>
  <c r="O103" i="4"/>
  <c r="P103" i="4" s="1"/>
  <c r="Q103" i="4" s="1"/>
  <c r="O93" i="4"/>
  <c r="O55" i="4"/>
  <c r="O52" i="4"/>
  <c r="O39" i="4"/>
  <c r="O36" i="4"/>
  <c r="O29" i="4"/>
  <c r="O16" i="4"/>
  <c r="O197" i="4"/>
  <c r="O83" i="4"/>
  <c r="O76" i="4"/>
  <c r="O27" i="4"/>
  <c r="O11" i="4"/>
  <c r="O219" i="4"/>
  <c r="O189" i="4"/>
  <c r="O182" i="4"/>
  <c r="O156" i="4"/>
  <c r="O132" i="4"/>
  <c r="O108" i="4"/>
  <c r="O3" i="4"/>
  <c r="O148" i="4"/>
  <c r="O124" i="4"/>
  <c r="O54" i="4"/>
  <c r="O44" i="4"/>
  <c r="O28" i="4"/>
  <c r="O225" i="4"/>
  <c r="O211" i="4"/>
  <c r="O168" i="4"/>
  <c r="O60" i="4"/>
  <c r="O174" i="4"/>
  <c r="O160" i="4"/>
  <c r="P160" i="4" s="1"/>
  <c r="Q160" i="4" s="1"/>
  <c r="O70" i="4"/>
  <c r="O64" i="4"/>
  <c r="P64" i="4" s="1"/>
  <c r="Q64" i="4" s="1"/>
  <c r="O59" i="4"/>
  <c r="O12" i="4"/>
  <c r="O209" i="4"/>
  <c r="O123" i="4"/>
  <c r="O118" i="4"/>
  <c r="O107" i="4"/>
  <c r="P107" i="4" s="1"/>
  <c r="Q107" i="4" s="1"/>
  <c r="O92" i="4"/>
  <c r="O80" i="4"/>
  <c r="O48" i="4"/>
  <c r="P48" i="4" s="1"/>
  <c r="Q48" i="4" s="1"/>
  <c r="O43" i="4"/>
  <c r="O38" i="4"/>
  <c r="O32" i="4"/>
  <c r="P32" i="4" s="1"/>
  <c r="Q32" i="4" s="1"/>
  <c r="O22" i="4"/>
  <c r="P22" i="4" s="1"/>
  <c r="Q22" i="4" s="1"/>
  <c r="O229" i="4"/>
  <c r="O213" i="4"/>
  <c r="O177" i="4"/>
  <c r="O164" i="4"/>
  <c r="O139" i="4"/>
  <c r="O121" i="4"/>
  <c r="O115" i="4"/>
  <c r="O105" i="4"/>
  <c r="P105" i="4" s="1"/>
  <c r="Q105" i="4" s="1"/>
  <c r="O67" i="4"/>
  <c r="O61" i="4"/>
  <c r="O41" i="4"/>
  <c r="O25" i="4"/>
  <c r="P25" i="4" s="1"/>
  <c r="Q25" i="4" s="1"/>
  <c r="S23" i="3"/>
  <c r="T23" i="3" s="1"/>
  <c r="S47" i="3"/>
  <c r="T47" i="3" s="1"/>
  <c r="S55" i="3"/>
  <c r="T55" i="3" s="1"/>
  <c r="S71" i="3"/>
  <c r="T71" i="3" s="1"/>
  <c r="S95" i="3"/>
  <c r="T95" i="3" s="1"/>
  <c r="S135" i="3"/>
  <c r="T135" i="3" s="1"/>
  <c r="O157" i="3"/>
  <c r="S157" i="3" s="1"/>
  <c r="T157" i="3" s="1"/>
  <c r="S167" i="3"/>
  <c r="T167" i="3" s="1"/>
  <c r="S183" i="3"/>
  <c r="T183" i="3" s="1"/>
  <c r="O204" i="3"/>
  <c r="O189" i="3"/>
  <c r="S189" i="3" s="1"/>
  <c r="T189" i="3" s="1"/>
  <c r="S196" i="3"/>
  <c r="T196" i="3" s="1"/>
  <c r="O227" i="3"/>
  <c r="S227" i="3" s="1"/>
  <c r="T227" i="3" s="1"/>
  <c r="S43" i="3"/>
  <c r="T43" i="3" s="1"/>
  <c r="S75" i="3"/>
  <c r="T75" i="3" s="1"/>
  <c r="S107" i="3"/>
  <c r="T107" i="3" s="1"/>
  <c r="S163" i="3"/>
  <c r="T163" i="3" s="1"/>
  <c r="S187" i="3"/>
  <c r="T187" i="3" s="1"/>
  <c r="O191" i="3"/>
  <c r="O219" i="3"/>
  <c r="O240" i="3"/>
  <c r="S240" i="3" s="1"/>
  <c r="T240" i="3" s="1"/>
  <c r="O195" i="3"/>
  <c r="O207" i="3"/>
  <c r="O245" i="3"/>
  <c r="O275" i="3"/>
  <c r="J23" i="2"/>
  <c r="O14" i="3"/>
  <c r="O22" i="3"/>
  <c r="S22" i="3" s="1"/>
  <c r="T22" i="3" s="1"/>
  <c r="O30" i="3"/>
  <c r="S30" i="3" s="1"/>
  <c r="T30" i="3" s="1"/>
  <c r="O54" i="3"/>
  <c r="S54" i="3" s="1"/>
  <c r="T54" i="3" s="1"/>
  <c r="O78" i="3"/>
  <c r="O94" i="3"/>
  <c r="O102" i="3"/>
  <c r="O118" i="3"/>
  <c r="S118" i="3" s="1"/>
  <c r="T118" i="3" s="1"/>
  <c r="O134" i="3"/>
  <c r="O259" i="3"/>
  <c r="O261" i="3"/>
  <c r="R304" i="3"/>
  <c r="R290" i="3"/>
  <c r="R288" i="3"/>
  <c r="S288" i="3" s="1"/>
  <c r="T288" i="3" s="1"/>
  <c r="R283" i="3"/>
  <c r="R263" i="3"/>
  <c r="R258" i="3"/>
  <c r="R256" i="3"/>
  <c r="R281" i="3"/>
  <c r="R324" i="3"/>
  <c r="R294" i="3"/>
  <c r="R292" i="3"/>
  <c r="R282" i="3"/>
  <c r="R262" i="3"/>
  <c r="R254" i="3"/>
  <c r="S254" i="3" s="1"/>
  <c r="T254" i="3" s="1"/>
  <c r="R242" i="3"/>
  <c r="R237" i="3"/>
  <c r="R234" i="3"/>
  <c r="R232" i="3"/>
  <c r="R229" i="3"/>
  <c r="S229" i="3" s="1"/>
  <c r="T229" i="3" s="1"/>
  <c r="R224" i="3"/>
  <c r="R219" i="3"/>
  <c r="R198" i="3"/>
  <c r="R195" i="3"/>
  <c r="R189" i="3"/>
  <c r="R186" i="3"/>
  <c r="R178" i="3"/>
  <c r="R170" i="3"/>
  <c r="R162" i="3"/>
  <c r="S162" i="3" s="1"/>
  <c r="T162" i="3" s="1"/>
  <c r="R154" i="3"/>
  <c r="R146" i="3"/>
  <c r="R138" i="3"/>
  <c r="R130" i="3"/>
  <c r="S130" i="3" s="1"/>
  <c r="T130" i="3" s="1"/>
  <c r="R122" i="3"/>
  <c r="R114" i="3"/>
  <c r="R106" i="3"/>
  <c r="R98" i="3"/>
  <c r="S98" i="3" s="1"/>
  <c r="T98" i="3" s="1"/>
  <c r="R90" i="3"/>
  <c r="R82" i="3"/>
  <c r="R74" i="3"/>
  <c r="R66" i="3"/>
  <c r="S66" i="3" s="1"/>
  <c r="T66" i="3" s="1"/>
  <c r="R58" i="3"/>
  <c r="R50" i="3"/>
  <c r="R42" i="3"/>
  <c r="R34" i="3"/>
  <c r="S34" i="3" s="1"/>
  <c r="T34" i="3" s="1"/>
  <c r="R26" i="3"/>
  <c r="R18" i="3"/>
  <c r="R10" i="3"/>
  <c r="R2" i="3"/>
  <c r="S2" i="3" s="1"/>
  <c r="T2" i="3" s="1"/>
  <c r="R269" i="3"/>
  <c r="R245" i="3"/>
  <c r="R222" i="3"/>
  <c r="R193" i="3"/>
  <c r="S193" i="3" s="1"/>
  <c r="T193" i="3" s="1"/>
  <c r="R176" i="3"/>
  <c r="R160" i="3"/>
  <c r="R152" i="3"/>
  <c r="R136" i="3"/>
  <c r="R128" i="3"/>
  <c r="R112" i="3"/>
  <c r="R88" i="3"/>
  <c r="R80" i="3"/>
  <c r="S80" i="3" s="1"/>
  <c r="T80" i="3" s="1"/>
  <c r="R48" i="3"/>
  <c r="R32" i="3"/>
  <c r="R16" i="3"/>
  <c r="R309" i="3"/>
  <c r="R298" i="3"/>
  <c r="R273" i="3"/>
  <c r="R271" i="3"/>
  <c r="S271" i="3" s="1"/>
  <c r="T271" i="3" s="1"/>
  <c r="R240" i="3"/>
  <c r="R227" i="3"/>
  <c r="R214" i="3"/>
  <c r="S214" i="3" s="1"/>
  <c r="T214" i="3" s="1"/>
  <c r="R209" i="3"/>
  <c r="R206" i="3"/>
  <c r="R201" i="3"/>
  <c r="R190" i="3"/>
  <c r="R181" i="3"/>
  <c r="S181" i="3" s="1"/>
  <c r="T181" i="3" s="1"/>
  <c r="R173" i="3"/>
  <c r="R165" i="3"/>
  <c r="R157" i="3"/>
  <c r="R149" i="3"/>
  <c r="S149" i="3" s="1"/>
  <c r="T149" i="3" s="1"/>
  <c r="R141" i="3"/>
  <c r="S141" i="3" s="1"/>
  <c r="T141" i="3" s="1"/>
  <c r="R133" i="3"/>
  <c r="R125" i="3"/>
  <c r="S125" i="3" s="1"/>
  <c r="T125" i="3" s="1"/>
  <c r="R117" i="3"/>
  <c r="S117" i="3" s="1"/>
  <c r="T117" i="3" s="1"/>
  <c r="R109" i="3"/>
  <c r="S109" i="3" s="1"/>
  <c r="T109" i="3" s="1"/>
  <c r="R101" i="3"/>
  <c r="S101" i="3" s="1"/>
  <c r="T101" i="3" s="1"/>
  <c r="R93" i="3"/>
  <c r="R85" i="3"/>
  <c r="S85" i="3" s="1"/>
  <c r="T85" i="3" s="1"/>
  <c r="R77" i="3"/>
  <c r="S77" i="3" s="1"/>
  <c r="T77" i="3" s="1"/>
  <c r="R69" i="3"/>
  <c r="S69" i="3" s="1"/>
  <c r="T69" i="3" s="1"/>
  <c r="R61" i="3"/>
  <c r="R53" i="3"/>
  <c r="S53" i="3" s="1"/>
  <c r="T53" i="3" s="1"/>
  <c r="R45" i="3"/>
  <c r="S45" i="3" s="1"/>
  <c r="T45" i="3" s="1"/>
  <c r="R37" i="3"/>
  <c r="S37" i="3" s="1"/>
  <c r="T37" i="3" s="1"/>
  <c r="R29" i="3"/>
  <c r="R21" i="3"/>
  <c r="S21" i="3" s="1"/>
  <c r="T21" i="3" s="1"/>
  <c r="R13" i="3"/>
  <c r="S13" i="3" s="1"/>
  <c r="T13" i="3" s="1"/>
  <c r="R5" i="3"/>
  <c r="S5" i="3" s="1"/>
  <c r="T5" i="3" s="1"/>
  <c r="R248" i="3"/>
  <c r="R217" i="3"/>
  <c r="R199" i="3"/>
  <c r="S199" i="3" s="1"/>
  <c r="T199" i="3" s="1"/>
  <c r="R184" i="3"/>
  <c r="R168" i="3"/>
  <c r="R144" i="3"/>
  <c r="R120" i="3"/>
  <c r="R104" i="3"/>
  <c r="R96" i="3"/>
  <c r="R72" i="3"/>
  <c r="R64" i="3"/>
  <c r="S64" i="3" s="1"/>
  <c r="T64" i="3" s="1"/>
  <c r="R56" i="3"/>
  <c r="R40" i="3"/>
  <c r="R24" i="3"/>
  <c r="R8" i="3"/>
  <c r="R287" i="3"/>
  <c r="R277" i="3"/>
  <c r="R321" i="3"/>
  <c r="R314" i="3"/>
  <c r="R305" i="3"/>
  <c r="R267" i="3"/>
  <c r="R320" i="3"/>
  <c r="R297" i="3"/>
  <c r="R251" i="3"/>
  <c r="R249" i="3"/>
  <c r="R239" i="3"/>
  <c r="R226" i="3"/>
  <c r="S226" i="3" s="1"/>
  <c r="T226" i="3" s="1"/>
  <c r="R216" i="3"/>
  <c r="R213" i="3"/>
  <c r="R205" i="3"/>
  <c r="S205" i="3" s="1"/>
  <c r="T205" i="3" s="1"/>
  <c r="R197" i="3"/>
  <c r="R188" i="3"/>
  <c r="R180" i="3"/>
  <c r="R172" i="3"/>
  <c r="R164" i="3"/>
  <c r="S164" i="3" s="1"/>
  <c r="T164" i="3" s="1"/>
  <c r="R156" i="3"/>
  <c r="R148" i="3"/>
  <c r="S148" i="3" s="1"/>
  <c r="T148" i="3" s="1"/>
  <c r="R140" i="3"/>
  <c r="S140" i="3" s="1"/>
  <c r="T140" i="3" s="1"/>
  <c r="R132" i="3"/>
  <c r="S132" i="3" s="1"/>
  <c r="T132" i="3" s="1"/>
  <c r="R124" i="3"/>
  <c r="S124" i="3" s="1"/>
  <c r="T124" i="3" s="1"/>
  <c r="R116" i="3"/>
  <c r="R108" i="3"/>
  <c r="R100" i="3"/>
  <c r="S100" i="3" s="1"/>
  <c r="T100" i="3" s="1"/>
  <c r="R92" i="3"/>
  <c r="R84" i="3"/>
  <c r="S84" i="3" s="1"/>
  <c r="T84" i="3" s="1"/>
  <c r="R76" i="3"/>
  <c r="S76" i="3" s="1"/>
  <c r="T76" i="3" s="1"/>
  <c r="R68" i="3"/>
  <c r="S68" i="3" s="1"/>
  <c r="T68" i="3" s="1"/>
  <c r="R60" i="3"/>
  <c r="S60" i="3" s="1"/>
  <c r="T60" i="3" s="1"/>
  <c r="R52" i="3"/>
  <c r="R44" i="3"/>
  <c r="R36" i="3"/>
  <c r="S36" i="3" s="1"/>
  <c r="T36" i="3" s="1"/>
  <c r="R28" i="3"/>
  <c r="R20" i="3"/>
  <c r="S20" i="3" s="1"/>
  <c r="T20" i="3" s="1"/>
  <c r="R12" i="3"/>
  <c r="S12" i="3" s="1"/>
  <c r="T12" i="3" s="1"/>
  <c r="R4" i="3"/>
  <c r="S4" i="3" s="1"/>
  <c r="T4" i="3" s="1"/>
  <c r="O151" i="4"/>
  <c r="O2" i="3"/>
  <c r="O8" i="3"/>
  <c r="O10" i="3"/>
  <c r="O16" i="3"/>
  <c r="O18" i="3"/>
  <c r="O24" i="3"/>
  <c r="S24" i="3" s="1"/>
  <c r="T24" i="3" s="1"/>
  <c r="O26" i="3"/>
  <c r="O32" i="3"/>
  <c r="S32" i="3" s="1"/>
  <c r="T32" i="3" s="1"/>
  <c r="O34" i="3"/>
  <c r="O40" i="3"/>
  <c r="O42" i="3"/>
  <c r="O48" i="3"/>
  <c r="O50" i="3"/>
  <c r="O56" i="3"/>
  <c r="S56" i="3" s="1"/>
  <c r="T56" i="3" s="1"/>
  <c r="O58" i="3"/>
  <c r="O64" i="3"/>
  <c r="O66" i="3"/>
  <c r="O72" i="3"/>
  <c r="O74" i="3"/>
  <c r="O80" i="3"/>
  <c r="O82" i="3"/>
  <c r="O88" i="3"/>
  <c r="S88" i="3" s="1"/>
  <c r="T88" i="3" s="1"/>
  <c r="O90" i="3"/>
  <c r="O96" i="3"/>
  <c r="S96" i="3" s="1"/>
  <c r="T96" i="3" s="1"/>
  <c r="O98" i="3"/>
  <c r="O104" i="3"/>
  <c r="O106" i="3"/>
  <c r="O112" i="3"/>
  <c r="O114" i="3"/>
  <c r="O120" i="3"/>
  <c r="S120" i="3" s="1"/>
  <c r="T120" i="3" s="1"/>
  <c r="O122" i="3"/>
  <c r="O128" i="3"/>
  <c r="O130" i="3"/>
  <c r="O136" i="3"/>
  <c r="O138" i="3"/>
  <c r="O144" i="3"/>
  <c r="O146" i="3"/>
  <c r="O152" i="3"/>
  <c r="S152" i="3" s="1"/>
  <c r="T152" i="3" s="1"/>
  <c r="O154" i="3"/>
  <c r="O160" i="3"/>
  <c r="S160" i="3" s="1"/>
  <c r="T160" i="3" s="1"/>
  <c r="O162" i="3"/>
  <c r="O168" i="3"/>
  <c r="O170" i="3"/>
  <c r="O176" i="3"/>
  <c r="O178" i="3"/>
  <c r="O184" i="3"/>
  <c r="S184" i="3" s="1"/>
  <c r="T184" i="3" s="1"/>
  <c r="O186" i="3"/>
  <c r="R191" i="3"/>
  <c r="O222" i="3"/>
  <c r="O224" i="3"/>
  <c r="O228" i="3"/>
  <c r="O232" i="3"/>
  <c r="R238" i="3"/>
  <c r="O252" i="3"/>
  <c r="O299" i="3"/>
  <c r="O9" i="4"/>
  <c r="O51" i="4"/>
  <c r="O68" i="4"/>
  <c r="O99" i="4"/>
  <c r="O125" i="4"/>
  <c r="S8" i="3"/>
  <c r="T8" i="3" s="1"/>
  <c r="S16" i="3"/>
  <c r="T16" i="3" s="1"/>
  <c r="S40" i="3"/>
  <c r="T40" i="3" s="1"/>
  <c r="S48" i="3"/>
  <c r="T48" i="3" s="1"/>
  <c r="S72" i="3"/>
  <c r="T72" i="3" s="1"/>
  <c r="S104" i="3"/>
  <c r="T104" i="3" s="1"/>
  <c r="S112" i="3"/>
  <c r="T112" i="3" s="1"/>
  <c r="S128" i="3"/>
  <c r="T128" i="3" s="1"/>
  <c r="S136" i="3"/>
  <c r="T136" i="3" s="1"/>
  <c r="S144" i="3"/>
  <c r="T144" i="3" s="1"/>
  <c r="S168" i="3"/>
  <c r="T168" i="3" s="1"/>
  <c r="S176" i="3"/>
  <c r="T176" i="3" s="1"/>
  <c r="S218" i="3"/>
  <c r="T218" i="3" s="1"/>
  <c r="S223" i="3"/>
  <c r="T223" i="3" s="1"/>
  <c r="S245" i="3"/>
  <c r="T245" i="3" s="1"/>
  <c r="P96" i="4"/>
  <c r="Q96" i="4" s="1"/>
  <c r="N231" i="4"/>
  <c r="N220" i="4"/>
  <c r="N216" i="4"/>
  <c r="N209" i="4"/>
  <c r="N200" i="4"/>
  <c r="N188" i="4"/>
  <c r="N177" i="4"/>
  <c r="N173" i="4"/>
  <c r="N170" i="4"/>
  <c r="N166" i="4"/>
  <c r="N162" i="4"/>
  <c r="N152" i="4"/>
  <c r="N145" i="4"/>
  <c r="N138" i="4"/>
  <c r="N132" i="4"/>
  <c r="N128" i="4"/>
  <c r="P128" i="4" s="1"/>
  <c r="Q128" i="4" s="1"/>
  <c r="N227" i="4"/>
  <c r="N219" i="4"/>
  <c r="N214" i="4"/>
  <c r="N210" i="4"/>
  <c r="P210" i="4" s="1"/>
  <c r="Q210" i="4" s="1"/>
  <c r="N201" i="4"/>
  <c r="N196" i="4"/>
  <c r="N182" i="4"/>
  <c r="N178" i="4"/>
  <c r="N174" i="4"/>
  <c r="N161" i="4"/>
  <c r="N150" i="4"/>
  <c r="N146" i="4"/>
  <c r="N142" i="4"/>
  <c r="N130" i="4"/>
  <c r="N126" i="4"/>
  <c r="N123" i="4"/>
  <c r="N109" i="4"/>
  <c r="N106" i="4"/>
  <c r="N90" i="4"/>
  <c r="N79" i="4"/>
  <c r="N72" i="4"/>
  <c r="N69" i="4"/>
  <c r="N62" i="4"/>
  <c r="N59" i="4"/>
  <c r="N46" i="4"/>
  <c r="N43" i="4"/>
  <c r="N33" i="4"/>
  <c r="N222" i="4"/>
  <c r="N205" i="4"/>
  <c r="N195" i="4"/>
  <c r="N190" i="4"/>
  <c r="N186" i="4"/>
  <c r="N165" i="4"/>
  <c r="P165" i="4" s="1"/>
  <c r="Q165" i="4" s="1"/>
  <c r="N157" i="4"/>
  <c r="N134" i="4"/>
  <c r="N116" i="4"/>
  <c r="N100" i="4"/>
  <c r="N86" i="4"/>
  <c r="N82" i="4"/>
  <c r="N75" i="4"/>
  <c r="N65" i="4"/>
  <c r="N49" i="4"/>
  <c r="N26" i="4"/>
  <c r="N23" i="4"/>
  <c r="N20" i="4"/>
  <c r="N13" i="4"/>
  <c r="N10" i="4"/>
  <c r="N7" i="4"/>
  <c r="N4" i="4"/>
  <c r="N224" i="4"/>
  <c r="N215" i="4"/>
  <c r="N211" i="4"/>
  <c r="P211" i="4" s="1"/>
  <c r="Q211" i="4" s="1"/>
  <c r="N202" i="4"/>
  <c r="N192" i="4"/>
  <c r="N171" i="4"/>
  <c r="N167" i="4"/>
  <c r="N158" i="4"/>
  <c r="N151" i="4"/>
  <c r="N147" i="4"/>
  <c r="P147" i="4" s="1"/>
  <c r="Q147" i="4" s="1"/>
  <c r="N143" i="4"/>
  <c r="P143" i="4" s="1"/>
  <c r="Q143" i="4" s="1"/>
  <c r="N139" i="4"/>
  <c r="P139" i="4" s="1"/>
  <c r="Q139" i="4" s="1"/>
  <c r="N131" i="4"/>
  <c r="N127" i="4"/>
  <c r="N124" i="4"/>
  <c r="N110" i="4"/>
  <c r="N107" i="4"/>
  <c r="N104" i="4"/>
  <c r="N101" i="4"/>
  <c r="N91" i="4"/>
  <c r="N87" i="4"/>
  <c r="N80" i="4"/>
  <c r="N73" i="4"/>
  <c r="P73" i="4" s="1"/>
  <c r="Q73" i="4" s="1"/>
  <c r="N70" i="4"/>
  <c r="P70" i="4" s="1"/>
  <c r="Q70" i="4" s="1"/>
  <c r="N63" i="4"/>
  <c r="N60" i="4"/>
  <c r="N47" i="4"/>
  <c r="P47" i="4" s="1"/>
  <c r="Q47" i="4" s="1"/>
  <c r="N44" i="4"/>
  <c r="N34" i="4"/>
  <c r="N24" i="4"/>
  <c r="N21" i="4"/>
  <c r="N14" i="4"/>
  <c r="P14" i="4" s="1"/>
  <c r="Q14" i="4" s="1"/>
  <c r="N8" i="4"/>
  <c r="N5" i="4"/>
  <c r="P5" i="4" s="1"/>
  <c r="Q5" i="4" s="1"/>
  <c r="P168" i="4"/>
  <c r="Q168" i="4" s="1"/>
  <c r="I38" i="2"/>
  <c r="P3" i="4"/>
  <c r="Q3" i="4" s="1"/>
  <c r="P93" i="4"/>
  <c r="Q93" i="4" s="1"/>
  <c r="I22" i="2"/>
  <c r="I33" i="2"/>
  <c r="S195" i="3"/>
  <c r="T195" i="3" s="1"/>
  <c r="N3" i="4"/>
  <c r="L9" i="4"/>
  <c r="L13" i="4"/>
  <c r="P13" i="4" s="1"/>
  <c r="Q13" i="4" s="1"/>
  <c r="L19" i="4"/>
  <c r="L24" i="4"/>
  <c r="L29" i="4"/>
  <c r="L35" i="4"/>
  <c r="P35" i="4" s="1"/>
  <c r="Q35" i="4" s="1"/>
  <c r="N39" i="4"/>
  <c r="P39" i="4" s="1"/>
  <c r="Q39" i="4" s="1"/>
  <c r="L45" i="4"/>
  <c r="N50" i="4"/>
  <c r="L55" i="4"/>
  <c r="P55" i="4" s="1"/>
  <c r="Q55" i="4" s="1"/>
  <c r="L65" i="4"/>
  <c r="L71" i="4"/>
  <c r="N76" i="4"/>
  <c r="N81" i="4"/>
  <c r="L88" i="4"/>
  <c r="N93" i="4"/>
  <c r="L99" i="4"/>
  <c r="P99" i="4" s="1"/>
  <c r="Q99" i="4" s="1"/>
  <c r="L104" i="4"/>
  <c r="P104" i="4" s="1"/>
  <c r="Q104" i="4" s="1"/>
  <c r="N108" i="4"/>
  <c r="N114" i="4"/>
  <c r="N119" i="4"/>
  <c r="L125" i="4"/>
  <c r="P125" i="4" s="1"/>
  <c r="Q125" i="4" s="1"/>
  <c r="L131" i="4"/>
  <c r="P131" i="4" s="1"/>
  <c r="Q131" i="4" s="1"/>
  <c r="L137" i="4"/>
  <c r="L144" i="4"/>
  <c r="P144" i="4" s="1"/>
  <c r="Q144" i="4" s="1"/>
  <c r="N149" i="4"/>
  <c r="N156" i="4"/>
  <c r="L162" i="4"/>
  <c r="N175" i="4"/>
  <c r="N181" i="4"/>
  <c r="N189" i="4"/>
  <c r="N197" i="4"/>
  <c r="N218" i="4"/>
  <c r="P75" i="4"/>
  <c r="Q75" i="4" s="1"/>
  <c r="P189" i="4"/>
  <c r="Q189" i="4" s="1"/>
  <c r="R81" i="5"/>
  <c r="S81" i="5" s="1"/>
  <c r="I6" i="2"/>
  <c r="L6" i="2" s="1"/>
  <c r="M6" i="2" s="1"/>
  <c r="I17" i="2"/>
  <c r="I28" i="2"/>
  <c r="N9" i="4"/>
  <c r="P9" i="4" s="1"/>
  <c r="Q9" i="4" s="1"/>
  <c r="N19" i="4"/>
  <c r="N29" i="4"/>
  <c r="N35" i="4"/>
  <c r="N40" i="4"/>
  <c r="N45" i="4"/>
  <c r="N51" i="4"/>
  <c r="N55" i="4"/>
  <c r="N66" i="4"/>
  <c r="N71" i="4"/>
  <c r="N88" i="4"/>
  <c r="N94" i="4"/>
  <c r="N99" i="4"/>
  <c r="N120" i="4"/>
  <c r="N125" i="4"/>
  <c r="N137" i="4"/>
  <c r="N144" i="4"/>
  <c r="N163" i="4"/>
  <c r="N169" i="4"/>
  <c r="N204" i="4"/>
  <c r="N212" i="4"/>
  <c r="L224" i="4"/>
  <c r="L213" i="4"/>
  <c r="P213" i="4" s="1"/>
  <c r="Q213" i="4" s="1"/>
  <c r="L205" i="4"/>
  <c r="L197" i="4"/>
  <c r="P197" i="4" s="1"/>
  <c r="Q197" i="4" s="1"/>
  <c r="L192" i="4"/>
  <c r="L184" i="4"/>
  <c r="L159" i="4"/>
  <c r="L149" i="4"/>
  <c r="L142" i="4"/>
  <c r="P142" i="4" s="1"/>
  <c r="Q142" i="4" s="1"/>
  <c r="L223" i="4"/>
  <c r="L206" i="4"/>
  <c r="L191" i="4"/>
  <c r="L187" i="4"/>
  <c r="L166" i="4"/>
  <c r="L154" i="4"/>
  <c r="L138" i="4"/>
  <c r="L135" i="4"/>
  <c r="P135" i="4" s="1"/>
  <c r="Q135" i="4" s="1"/>
  <c r="L120" i="4"/>
  <c r="L117" i="4"/>
  <c r="L113" i="4"/>
  <c r="L97" i="4"/>
  <c r="L94" i="4"/>
  <c r="L83" i="4"/>
  <c r="L66" i="4"/>
  <c r="L56" i="4"/>
  <c r="L53" i="4"/>
  <c r="L50" i="4"/>
  <c r="L40" i="4"/>
  <c r="L37" i="4"/>
  <c r="P37" i="4" s="1"/>
  <c r="Q37" i="4" s="1"/>
  <c r="L30" i="4"/>
  <c r="L27" i="4"/>
  <c r="P27" i="4" s="1"/>
  <c r="Q27" i="4" s="1"/>
  <c r="L17" i="4"/>
  <c r="L11" i="4"/>
  <c r="P11" i="4" s="1"/>
  <c r="Q11" i="4" s="1"/>
  <c r="L231" i="4"/>
  <c r="L227" i="4"/>
  <c r="L219" i="4"/>
  <c r="P219" i="4" s="1"/>
  <c r="Q219" i="4" s="1"/>
  <c r="L214" i="4"/>
  <c r="L210" i="4"/>
  <c r="L200" i="4"/>
  <c r="P200" i="4" s="1"/>
  <c r="Q200" i="4" s="1"/>
  <c r="L182" i="4"/>
  <c r="P182" i="4" s="1"/>
  <c r="Q182" i="4" s="1"/>
  <c r="L178" i="4"/>
  <c r="P178" i="4" s="1"/>
  <c r="Q178" i="4" s="1"/>
  <c r="L174" i="4"/>
  <c r="L170" i="4"/>
  <c r="L161" i="4"/>
  <c r="L150" i="4"/>
  <c r="L146" i="4"/>
  <c r="L130" i="4"/>
  <c r="L126" i="4"/>
  <c r="L123" i="4"/>
  <c r="L109" i="4"/>
  <c r="L106" i="4"/>
  <c r="L90" i="4"/>
  <c r="L79" i="4"/>
  <c r="L72" i="4"/>
  <c r="L69" i="4"/>
  <c r="L62" i="4"/>
  <c r="L59" i="4"/>
  <c r="P59" i="4" s="1"/>
  <c r="Q59" i="4" s="1"/>
  <c r="L46" i="4"/>
  <c r="L43" i="4"/>
  <c r="L33" i="4"/>
  <c r="L229" i="4"/>
  <c r="P229" i="4" s="1"/>
  <c r="Q229" i="4" s="1"/>
  <c r="L220" i="4"/>
  <c r="L207" i="4"/>
  <c r="L188" i="4"/>
  <c r="L183" i="4"/>
  <c r="L179" i="4"/>
  <c r="L175" i="4"/>
  <c r="L163" i="4"/>
  <c r="L155" i="4"/>
  <c r="P155" i="4" s="1"/>
  <c r="Q155" i="4" s="1"/>
  <c r="L121" i="4"/>
  <c r="L118" i="4"/>
  <c r="L114" i="4"/>
  <c r="L98" i="4"/>
  <c r="L95" i="4"/>
  <c r="L67" i="4"/>
  <c r="L57" i="4"/>
  <c r="P57" i="4" s="1"/>
  <c r="Q57" i="4" s="1"/>
  <c r="L54" i="4"/>
  <c r="P54" i="4" s="1"/>
  <c r="Q54" i="4" s="1"/>
  <c r="L51" i="4"/>
  <c r="L41" i="4"/>
  <c r="P41" i="4" s="1"/>
  <c r="Q41" i="4" s="1"/>
  <c r="L38" i="4"/>
  <c r="L31" i="4"/>
  <c r="L18" i="4"/>
  <c r="L2" i="4"/>
  <c r="R73" i="5"/>
  <c r="S73" i="5" s="1"/>
  <c r="R79" i="5"/>
  <c r="S79" i="5" s="1"/>
  <c r="R96" i="5"/>
  <c r="S96" i="5" s="1"/>
  <c r="S286" i="3"/>
  <c r="T286" i="3" s="1"/>
  <c r="R145" i="5"/>
  <c r="S145" i="5" s="1"/>
  <c r="R46" i="5"/>
  <c r="S46" i="5" s="1"/>
  <c r="R83" i="5"/>
  <c r="S83" i="5" s="1"/>
  <c r="P179" i="5"/>
  <c r="P187" i="5"/>
  <c r="P174" i="5"/>
  <c r="P172" i="5"/>
  <c r="P169" i="5"/>
  <c r="P155" i="5"/>
  <c r="P149" i="5"/>
  <c r="R149" i="5" s="1"/>
  <c r="S149" i="5" s="1"/>
  <c r="P140" i="5"/>
  <c r="P117" i="5"/>
  <c r="P111" i="5"/>
  <c r="P89" i="5"/>
  <c r="R89" i="5" s="1"/>
  <c r="S89" i="5" s="1"/>
  <c r="P188" i="5"/>
  <c r="P181" i="5"/>
  <c r="P178" i="5"/>
  <c r="P163" i="5"/>
  <c r="P156" i="5"/>
  <c r="R156" i="5" s="1"/>
  <c r="S156" i="5" s="1"/>
  <c r="P137" i="5"/>
  <c r="P186" i="5"/>
  <c r="P183" i="5"/>
  <c r="P173" i="5"/>
  <c r="R173" i="5" s="1"/>
  <c r="S173" i="5" s="1"/>
  <c r="P164" i="5"/>
  <c r="R164" i="5" s="1"/>
  <c r="S164" i="5" s="1"/>
  <c r="P123" i="5"/>
  <c r="P116" i="5"/>
  <c r="P100" i="5"/>
  <c r="P97" i="5"/>
  <c r="P95" i="5"/>
  <c r="P77" i="5"/>
  <c r="P69" i="5"/>
  <c r="P40" i="5"/>
  <c r="R40" i="5" s="1"/>
  <c r="S40" i="5" s="1"/>
  <c r="P22" i="5"/>
  <c r="R22" i="5" s="1"/>
  <c r="S22" i="5" s="1"/>
  <c r="R303" i="3"/>
  <c r="R14" i="5"/>
  <c r="S14" i="5" s="1"/>
  <c r="P32" i="5"/>
  <c r="R32" i="5" s="1"/>
  <c r="S32" i="5" s="1"/>
  <c r="P48" i="5"/>
  <c r="R48" i="5" s="1"/>
  <c r="S48" i="5" s="1"/>
  <c r="P51" i="5"/>
  <c r="P54" i="5"/>
  <c r="R54" i="5" s="1"/>
  <c r="S54" i="5" s="1"/>
  <c r="P59" i="5"/>
  <c r="P62" i="5"/>
  <c r="P65" i="5"/>
  <c r="P71" i="5"/>
  <c r="P94" i="5"/>
  <c r="R105" i="5"/>
  <c r="S105" i="5" s="1"/>
  <c r="P160" i="5"/>
  <c r="R172" i="5"/>
  <c r="S172" i="5" s="1"/>
  <c r="Q180" i="5"/>
  <c r="R180" i="5" s="1"/>
  <c r="S180" i="5" s="1"/>
  <c r="Q166" i="5"/>
  <c r="Q161" i="5"/>
  <c r="Q137" i="5"/>
  <c r="Q134" i="5"/>
  <c r="Q132" i="5"/>
  <c r="R132" i="5" s="1"/>
  <c r="S132" i="5" s="1"/>
  <c r="Q129" i="5"/>
  <c r="Q126" i="5"/>
  <c r="Q72" i="5"/>
  <c r="Q67" i="5"/>
  <c r="Q64" i="5"/>
  <c r="Q174" i="5"/>
  <c r="R174" i="5" s="1"/>
  <c r="S174" i="5" s="1"/>
  <c r="Q168" i="5"/>
  <c r="R168" i="5" s="1"/>
  <c r="S168" i="5" s="1"/>
  <c r="Q165" i="5"/>
  <c r="Q147" i="5"/>
  <c r="Q144" i="5"/>
  <c r="Q140" i="5"/>
  <c r="R140" i="5" s="1"/>
  <c r="S140" i="5" s="1"/>
  <c r="Q176" i="5"/>
  <c r="Q170" i="5"/>
  <c r="Q167" i="5"/>
  <c r="Q154" i="5"/>
  <c r="Q151" i="5"/>
  <c r="Q145" i="5"/>
  <c r="Q138" i="5"/>
  <c r="R138" i="5" s="1"/>
  <c r="S138" i="5" s="1"/>
  <c r="Q112" i="5"/>
  <c r="R112" i="5" s="1"/>
  <c r="S112" i="5" s="1"/>
  <c r="Q92" i="5"/>
  <c r="Q89" i="5"/>
  <c r="Q79" i="5"/>
  <c r="Q74" i="5"/>
  <c r="Q71" i="5"/>
  <c r="Q57" i="5"/>
  <c r="Q52" i="5"/>
  <c r="Q49" i="5"/>
  <c r="R49" i="5" s="1"/>
  <c r="S49" i="5" s="1"/>
  <c r="Q47" i="5"/>
  <c r="Q45" i="5"/>
  <c r="Q32" i="5"/>
  <c r="Q30" i="5"/>
  <c r="R30" i="5" s="1"/>
  <c r="S30" i="5" s="1"/>
  <c r="Q27" i="5"/>
  <c r="Q19" i="5"/>
  <c r="Q5" i="5"/>
  <c r="Q2" i="5"/>
  <c r="R103" i="5"/>
  <c r="S103" i="5" s="1"/>
  <c r="R62" i="5"/>
  <c r="S62" i="5" s="1"/>
  <c r="M78" i="5"/>
  <c r="R78" i="5" s="1"/>
  <c r="S78" i="5" s="1"/>
  <c r="M80" i="5"/>
  <c r="R80" i="5" s="1"/>
  <c r="S80" i="5" s="1"/>
  <c r="M100" i="5"/>
  <c r="R100" i="5" s="1"/>
  <c r="S100" i="5" s="1"/>
  <c r="M102" i="5"/>
  <c r="M109" i="5"/>
  <c r="M124" i="5"/>
  <c r="R124" i="5" s="1"/>
  <c r="S124" i="5" s="1"/>
  <c r="M147" i="5"/>
  <c r="E28" i="7"/>
  <c r="E64" i="7"/>
  <c r="E101" i="7"/>
  <c r="E137" i="7"/>
  <c r="E174" i="7"/>
  <c r="E210" i="7"/>
  <c r="E247" i="7"/>
  <c r="E284" i="7"/>
  <c r="E326" i="7"/>
  <c r="E368" i="7"/>
  <c r="E412" i="7"/>
  <c r="E454" i="7"/>
  <c r="E501" i="7"/>
  <c r="E46" i="7"/>
  <c r="E82" i="7"/>
  <c r="E119" i="7"/>
  <c r="E156" i="7"/>
  <c r="E192" i="7"/>
  <c r="E229" i="7"/>
  <c r="E265" i="7"/>
  <c r="E304" i="7"/>
  <c r="E348" i="7"/>
  <c r="E390" i="7"/>
  <c r="E432" i="7"/>
  <c r="E476" i="7"/>
  <c r="E526" i="7"/>
  <c r="E17" i="7"/>
  <c r="E54" i="7"/>
  <c r="E90" i="7"/>
  <c r="E127" i="7"/>
  <c r="E164" i="7"/>
  <c r="E200" i="7"/>
  <c r="E237" i="7"/>
  <c r="E273" i="7"/>
  <c r="E313" i="7"/>
  <c r="E357" i="7"/>
  <c r="E399" i="7"/>
  <c r="E441" i="7"/>
  <c r="E486" i="7"/>
  <c r="E536" i="7"/>
  <c r="E18" i="7"/>
  <c r="E55" i="7"/>
  <c r="E92" i="7"/>
  <c r="E128" i="7"/>
  <c r="E165" i="7"/>
  <c r="E201" i="7"/>
  <c r="E238" i="7"/>
  <c r="E274" i="7"/>
  <c r="E316" i="7"/>
  <c r="E358" i="7"/>
  <c r="E400" i="7"/>
  <c r="E444" i="7"/>
  <c r="E487" i="7"/>
  <c r="J40" i="2"/>
  <c r="J32" i="2"/>
  <c r="J24" i="2"/>
  <c r="J16" i="2"/>
  <c r="J8" i="2"/>
  <c r="J43" i="2"/>
  <c r="J35" i="2"/>
  <c r="J27" i="2"/>
  <c r="J19" i="2"/>
  <c r="J11" i="2"/>
  <c r="J3" i="2"/>
  <c r="J4" i="2"/>
  <c r="L4" i="2" s="1"/>
  <c r="M4" i="2" s="1"/>
  <c r="J9" i="2"/>
  <c r="L9" i="2" s="1"/>
  <c r="M9" i="2" s="1"/>
  <c r="J12" i="2"/>
  <c r="L12" i="2" s="1"/>
  <c r="M12" i="2" s="1"/>
  <c r="J17" i="2"/>
  <c r="J20" i="2"/>
  <c r="L20" i="2" s="1"/>
  <c r="M20" i="2" s="1"/>
  <c r="J25" i="2"/>
  <c r="J28" i="2"/>
  <c r="L28" i="2" s="1"/>
  <c r="M28" i="2" s="1"/>
  <c r="J33" i="2"/>
  <c r="L33" i="2" s="1"/>
  <c r="M33" i="2" s="1"/>
  <c r="J36" i="2"/>
  <c r="L36" i="2" s="1"/>
  <c r="M36" i="2" s="1"/>
  <c r="J41" i="2"/>
  <c r="L41" i="2" s="1"/>
  <c r="M41" i="2" s="1"/>
  <c r="I29" i="2"/>
  <c r="I21" i="2"/>
  <c r="I13" i="2"/>
  <c r="I5" i="2"/>
  <c r="I40" i="2"/>
  <c r="I32" i="2"/>
  <c r="L32" i="2" s="1"/>
  <c r="M32" i="2" s="1"/>
  <c r="I24" i="2"/>
  <c r="L24" i="2" s="1"/>
  <c r="M24" i="2" s="1"/>
  <c r="I16" i="2"/>
  <c r="I8" i="2"/>
  <c r="S6" i="3"/>
  <c r="T6" i="3" s="1"/>
  <c r="S14" i="3"/>
  <c r="T14" i="3" s="1"/>
  <c r="S38" i="3"/>
  <c r="T38" i="3" s="1"/>
  <c r="S46" i="3"/>
  <c r="T46" i="3" s="1"/>
  <c r="S62" i="3"/>
  <c r="T62" i="3" s="1"/>
  <c r="S78" i="3"/>
  <c r="T78" i="3" s="1"/>
  <c r="S86" i="3"/>
  <c r="T86" i="3" s="1"/>
  <c r="S94" i="3"/>
  <c r="T94" i="3" s="1"/>
  <c r="S102" i="3"/>
  <c r="T102" i="3" s="1"/>
  <c r="S110" i="3"/>
  <c r="T110" i="3" s="1"/>
  <c r="S126" i="3"/>
  <c r="T126" i="3" s="1"/>
  <c r="S142" i="3"/>
  <c r="T142" i="3" s="1"/>
  <c r="S150" i="3"/>
  <c r="T150" i="3" s="1"/>
  <c r="S158" i="3"/>
  <c r="T158" i="3" s="1"/>
  <c r="S174" i="3"/>
  <c r="T174" i="3" s="1"/>
  <c r="S200" i="3"/>
  <c r="T200" i="3" s="1"/>
  <c r="S243" i="3"/>
  <c r="T243" i="3" s="1"/>
  <c r="S251" i="3"/>
  <c r="T251" i="3" s="1"/>
  <c r="S287" i="3"/>
  <c r="T287" i="3" s="1"/>
  <c r="S267" i="3"/>
  <c r="T267" i="3" s="1"/>
  <c r="S307" i="3"/>
  <c r="T307" i="3" s="1"/>
  <c r="J37" i="2"/>
  <c r="I3" i="2"/>
  <c r="I11" i="2"/>
  <c r="L11" i="2" s="1"/>
  <c r="M11" i="2" s="1"/>
  <c r="I19" i="2"/>
  <c r="L19" i="2" s="1"/>
  <c r="M19" i="2" s="1"/>
  <c r="I27" i="2"/>
  <c r="I35" i="2"/>
  <c r="I43" i="2"/>
  <c r="S191" i="3"/>
  <c r="T191" i="3" s="1"/>
  <c r="S232" i="3"/>
  <c r="T232" i="3" s="1"/>
  <c r="S238" i="3"/>
  <c r="T238" i="3" s="1"/>
  <c r="S247" i="3"/>
  <c r="T247" i="3" s="1"/>
  <c r="P43" i="4"/>
  <c r="Q43" i="4" s="1"/>
  <c r="J31" i="2"/>
  <c r="J39" i="2"/>
  <c r="S194" i="3"/>
  <c r="T194" i="3" s="1"/>
  <c r="P77" i="4"/>
  <c r="Q77" i="4" s="1"/>
  <c r="J15" i="2"/>
  <c r="J6" i="2"/>
  <c r="J14" i="2"/>
  <c r="L14" i="2" s="1"/>
  <c r="M14" i="2" s="1"/>
  <c r="L17" i="2"/>
  <c r="M17" i="2" s="1"/>
  <c r="J22" i="2"/>
  <c r="L22" i="2" s="1"/>
  <c r="M22" i="2" s="1"/>
  <c r="L25" i="2"/>
  <c r="M25" i="2" s="1"/>
  <c r="J30" i="2"/>
  <c r="L30" i="2" s="1"/>
  <c r="M30" i="2" s="1"/>
  <c r="J38" i="2"/>
  <c r="L38" i="2" s="1"/>
  <c r="M38" i="2" s="1"/>
  <c r="S190" i="3"/>
  <c r="T190" i="3" s="1"/>
  <c r="S210" i="3"/>
  <c r="T210" i="3" s="1"/>
  <c r="S216" i="3"/>
  <c r="T216" i="3" s="1"/>
  <c r="S222" i="3"/>
  <c r="T222" i="3" s="1"/>
  <c r="S231" i="3"/>
  <c r="T231" i="3" s="1"/>
  <c r="S246" i="3"/>
  <c r="T246" i="3" s="1"/>
  <c r="S308" i="3"/>
  <c r="T308" i="3" s="1"/>
  <c r="P23" i="4"/>
  <c r="Q23" i="4" s="1"/>
  <c r="P151" i="4"/>
  <c r="Q151" i="4" s="1"/>
  <c r="J2" i="2"/>
  <c r="I7" i="2"/>
  <c r="L7" i="2" s="1"/>
  <c r="M7" i="2" s="1"/>
  <c r="J10" i="2"/>
  <c r="I15" i="2"/>
  <c r="L15" i="2" s="1"/>
  <c r="M15" i="2" s="1"/>
  <c r="J18" i="2"/>
  <c r="I23" i="2"/>
  <c r="L23" i="2" s="1"/>
  <c r="M23" i="2" s="1"/>
  <c r="J26" i="2"/>
  <c r="I31" i="2"/>
  <c r="J34" i="2"/>
  <c r="I39" i="2"/>
  <c r="L39" i="2" s="1"/>
  <c r="M39" i="2" s="1"/>
  <c r="J42" i="2"/>
  <c r="L42" i="2" s="1"/>
  <c r="M42" i="2" s="1"/>
  <c r="R274" i="3"/>
  <c r="S277" i="3"/>
  <c r="T277" i="3" s="1"/>
  <c r="R279" i="3"/>
  <c r="S279" i="3" s="1"/>
  <c r="T279" i="3" s="1"/>
  <c r="R289" i="3"/>
  <c r="R293" i="3"/>
  <c r="S293" i="3" s="1"/>
  <c r="T293" i="3" s="1"/>
  <c r="R300" i="3"/>
  <c r="P29" i="4"/>
  <c r="Q29" i="4" s="1"/>
  <c r="P83" i="4"/>
  <c r="Q83" i="4" s="1"/>
  <c r="O150" i="4"/>
  <c r="P150" i="4" s="1"/>
  <c r="Q150" i="4" s="1"/>
  <c r="O166" i="4"/>
  <c r="P166" i="4" s="1"/>
  <c r="Q166" i="4" s="1"/>
  <c r="O171" i="4"/>
  <c r="P171" i="4" s="1"/>
  <c r="Q171" i="4" s="1"/>
  <c r="P174" i="4"/>
  <c r="Q174" i="4" s="1"/>
  <c r="O184" i="4"/>
  <c r="P184" i="4" s="1"/>
  <c r="Q184" i="4" s="1"/>
  <c r="O226" i="4"/>
  <c r="R136" i="5"/>
  <c r="S136" i="5" s="1"/>
  <c r="P61" i="4"/>
  <c r="Q61" i="4" s="1"/>
  <c r="P86" i="4"/>
  <c r="Q86" i="4" s="1"/>
  <c r="P170" i="4"/>
  <c r="Q170" i="4" s="1"/>
  <c r="P172" i="4"/>
  <c r="Q172" i="4" s="1"/>
  <c r="R162" i="5"/>
  <c r="S162" i="5" s="1"/>
  <c r="P175" i="4"/>
  <c r="Q175" i="4" s="1"/>
  <c r="S269" i="3"/>
  <c r="T269" i="3" s="1"/>
  <c r="S303" i="3"/>
  <c r="T303" i="3" s="1"/>
  <c r="R323" i="3"/>
  <c r="S323" i="3" s="1"/>
  <c r="T323" i="3" s="1"/>
  <c r="R315" i="3"/>
  <c r="S315" i="3" s="1"/>
  <c r="T315" i="3" s="1"/>
  <c r="R307" i="3"/>
  <c r="R299" i="3"/>
  <c r="R291" i="3"/>
  <c r="S291" i="3" s="1"/>
  <c r="T291" i="3" s="1"/>
  <c r="R322" i="3"/>
  <c r="S322" i="3" s="1"/>
  <c r="T322" i="3" s="1"/>
  <c r="R317" i="3"/>
  <c r="S317" i="3" s="1"/>
  <c r="T317" i="3" s="1"/>
  <c r="R312" i="3"/>
  <c r="R302" i="3"/>
  <c r="S302" i="3" s="1"/>
  <c r="T302" i="3" s="1"/>
  <c r="R316" i="3"/>
  <c r="S316" i="3" s="1"/>
  <c r="T316" i="3" s="1"/>
  <c r="R311" i="3"/>
  <c r="R306" i="3"/>
  <c r="R301" i="3"/>
  <c r="S301" i="3" s="1"/>
  <c r="T301" i="3" s="1"/>
  <c r="R296" i="3"/>
  <c r="R284" i="3"/>
  <c r="R276" i="3"/>
  <c r="S276" i="3" s="1"/>
  <c r="T276" i="3" s="1"/>
  <c r="R268" i="3"/>
  <c r="S268" i="3" s="1"/>
  <c r="T268" i="3" s="1"/>
  <c r="R260" i="3"/>
  <c r="S260" i="3" s="1"/>
  <c r="T260" i="3" s="1"/>
  <c r="R252" i="3"/>
  <c r="R244" i="3"/>
  <c r="R236" i="3"/>
  <c r="S236" i="3" s="1"/>
  <c r="T236" i="3" s="1"/>
  <c r="R228" i="3"/>
  <c r="S228" i="3" s="1"/>
  <c r="T228" i="3" s="1"/>
  <c r="R220" i="3"/>
  <c r="R212" i="3"/>
  <c r="R204" i="3"/>
  <c r="S204" i="3" s="1"/>
  <c r="T204" i="3" s="1"/>
  <c r="P6" i="4"/>
  <c r="Q6" i="4" s="1"/>
  <c r="O77" i="4"/>
  <c r="O84" i="4"/>
  <c r="O102" i="4"/>
  <c r="P102" i="4" s="1"/>
  <c r="Q102" i="4" s="1"/>
  <c r="O131" i="4"/>
  <c r="O140" i="4"/>
  <c r="P181" i="4"/>
  <c r="Q181" i="4" s="1"/>
  <c r="O186" i="4"/>
  <c r="I37" i="2"/>
  <c r="S213" i="3"/>
  <c r="T213" i="3" s="1"/>
  <c r="R310" i="3"/>
  <c r="R313" i="3"/>
  <c r="R319" i="3"/>
  <c r="P226" i="4"/>
  <c r="Q226" i="4" s="1"/>
  <c r="O231" i="4"/>
  <c r="P231" i="4" s="1"/>
  <c r="Q231" i="4" s="1"/>
  <c r="O223" i="4"/>
  <c r="P223" i="4" s="1"/>
  <c r="Q223" i="4" s="1"/>
  <c r="O215" i="4"/>
  <c r="O207" i="4"/>
  <c r="P207" i="4" s="1"/>
  <c r="Q207" i="4" s="1"/>
  <c r="O199" i="4"/>
  <c r="P199" i="4" s="1"/>
  <c r="Q199" i="4" s="1"/>
  <c r="O191" i="4"/>
  <c r="O183" i="4"/>
  <c r="O175" i="4"/>
  <c r="O167" i="4"/>
  <c r="P167" i="4" s="1"/>
  <c r="Q167" i="4" s="1"/>
  <c r="O224" i="4"/>
  <c r="O217" i="4"/>
  <c r="O208" i="4"/>
  <c r="P208" i="4" s="1"/>
  <c r="Q208" i="4" s="1"/>
  <c r="O201" i="4"/>
  <c r="O192" i="4"/>
  <c r="O185" i="4"/>
  <c r="O176" i="4"/>
  <c r="P176" i="4" s="1"/>
  <c r="Q176" i="4" s="1"/>
  <c r="O169" i="4"/>
  <c r="O162" i="4"/>
  <c r="O154" i="4"/>
  <c r="P154" i="4" s="1"/>
  <c r="Q154" i="4" s="1"/>
  <c r="O146" i="4"/>
  <c r="P146" i="4" s="1"/>
  <c r="Q146" i="4" s="1"/>
  <c r="O138" i="4"/>
  <c r="P138" i="4" s="1"/>
  <c r="Q138" i="4" s="1"/>
  <c r="O130" i="4"/>
  <c r="O122" i="4"/>
  <c r="P122" i="4" s="1"/>
  <c r="Q122" i="4" s="1"/>
  <c r="O114" i="4"/>
  <c r="O106" i="4"/>
  <c r="P106" i="4" s="1"/>
  <c r="Q106" i="4" s="1"/>
  <c r="O98" i="4"/>
  <c r="O90" i="4"/>
  <c r="O82" i="4"/>
  <c r="P82" i="4" s="1"/>
  <c r="Q82" i="4" s="1"/>
  <c r="O74" i="4"/>
  <c r="P74" i="4" s="1"/>
  <c r="Q74" i="4" s="1"/>
  <c r="O66" i="4"/>
  <c r="O58" i="4"/>
  <c r="P58" i="4" s="1"/>
  <c r="Q58" i="4" s="1"/>
  <c r="O50" i="4"/>
  <c r="P50" i="4" s="1"/>
  <c r="Q50" i="4" s="1"/>
  <c r="O42" i="4"/>
  <c r="P42" i="4" s="1"/>
  <c r="Q42" i="4" s="1"/>
  <c r="O34" i="4"/>
  <c r="P34" i="4" s="1"/>
  <c r="Q34" i="4" s="1"/>
  <c r="O26" i="4"/>
  <c r="P26" i="4" s="1"/>
  <c r="Q26" i="4" s="1"/>
  <c r="O18" i="4"/>
  <c r="P18" i="4" s="1"/>
  <c r="Q18" i="4" s="1"/>
  <c r="O10" i="4"/>
  <c r="P10" i="4" s="1"/>
  <c r="Q10" i="4" s="1"/>
  <c r="O2" i="4"/>
  <c r="P2" i="4" s="1"/>
  <c r="Q2" i="4" s="1"/>
  <c r="O228" i="4"/>
  <c r="O216" i="4"/>
  <c r="P216" i="4" s="1"/>
  <c r="Q216" i="4" s="1"/>
  <c r="O214" i="4"/>
  <c r="P214" i="4" s="1"/>
  <c r="Q214" i="4" s="1"/>
  <c r="O212" i="4"/>
  <c r="O210" i="4"/>
  <c r="O206" i="4"/>
  <c r="P206" i="4" s="1"/>
  <c r="Q206" i="4" s="1"/>
  <c r="O204" i="4"/>
  <c r="P204" i="4" s="1"/>
  <c r="Q204" i="4" s="1"/>
  <c r="O161" i="4"/>
  <c r="O152" i="4"/>
  <c r="O145" i="4"/>
  <c r="P145" i="4" s="1"/>
  <c r="Q145" i="4" s="1"/>
  <c r="O136" i="4"/>
  <c r="P136" i="4" s="1"/>
  <c r="Q136" i="4" s="1"/>
  <c r="O129" i="4"/>
  <c r="P129" i="4" s="1"/>
  <c r="Q129" i="4" s="1"/>
  <c r="O120" i="4"/>
  <c r="O113" i="4"/>
  <c r="P113" i="4" s="1"/>
  <c r="Q113" i="4" s="1"/>
  <c r="O104" i="4"/>
  <c r="O97" i="4"/>
  <c r="O88" i="4"/>
  <c r="O81" i="4"/>
  <c r="P81" i="4" s="1"/>
  <c r="Q81" i="4" s="1"/>
  <c r="O72" i="4"/>
  <c r="P72" i="4" s="1"/>
  <c r="Q72" i="4" s="1"/>
  <c r="O65" i="4"/>
  <c r="O56" i="4"/>
  <c r="O49" i="4"/>
  <c r="P49" i="4" s="1"/>
  <c r="Q49" i="4" s="1"/>
  <c r="O40" i="4"/>
  <c r="P40" i="4" s="1"/>
  <c r="Q40" i="4" s="1"/>
  <c r="O33" i="4"/>
  <c r="O24" i="4"/>
  <c r="P24" i="4" s="1"/>
  <c r="Q24" i="4" s="1"/>
  <c r="O17" i="4"/>
  <c r="O8" i="4"/>
  <c r="P8" i="4" s="1"/>
  <c r="Q8" i="4" s="1"/>
  <c r="O222" i="4"/>
  <c r="O220" i="4"/>
  <c r="P220" i="4" s="1"/>
  <c r="Q220" i="4" s="1"/>
  <c r="O218" i="4"/>
  <c r="O202" i="4"/>
  <c r="P202" i="4" s="1"/>
  <c r="Q202" i="4" s="1"/>
  <c r="O200" i="4"/>
  <c r="O198" i="4"/>
  <c r="O196" i="4"/>
  <c r="O194" i="4"/>
  <c r="P194" i="4" s="1"/>
  <c r="Q194" i="4" s="1"/>
  <c r="O190" i="4"/>
  <c r="P190" i="4" s="1"/>
  <c r="Q190" i="4" s="1"/>
  <c r="O188" i="4"/>
  <c r="O159" i="4"/>
  <c r="P159" i="4" s="1"/>
  <c r="Q159" i="4" s="1"/>
  <c r="O143" i="4"/>
  <c r="O127" i="4"/>
  <c r="P127" i="4" s="1"/>
  <c r="Q127" i="4" s="1"/>
  <c r="O111" i="4"/>
  <c r="P111" i="4" s="1"/>
  <c r="Q111" i="4" s="1"/>
  <c r="O95" i="4"/>
  <c r="P95" i="4" s="1"/>
  <c r="Q95" i="4" s="1"/>
  <c r="O79" i="4"/>
  <c r="P79" i="4" s="1"/>
  <c r="Q79" i="4" s="1"/>
  <c r="O63" i="4"/>
  <c r="P63" i="4" s="1"/>
  <c r="Q63" i="4" s="1"/>
  <c r="O47" i="4"/>
  <c r="O31" i="4"/>
  <c r="P31" i="4" s="1"/>
  <c r="Q31" i="4" s="1"/>
  <c r="O15" i="4"/>
  <c r="P15" i="4" s="1"/>
  <c r="Q15" i="4" s="1"/>
  <c r="O193" i="4"/>
  <c r="O187" i="4"/>
  <c r="O179" i="4"/>
  <c r="P179" i="4" s="1"/>
  <c r="Q179" i="4" s="1"/>
  <c r="O173" i="4"/>
  <c r="P173" i="4" s="1"/>
  <c r="Q173" i="4" s="1"/>
  <c r="O165" i="4"/>
  <c r="O158" i="4"/>
  <c r="O149" i="4"/>
  <c r="P149" i="4" s="1"/>
  <c r="Q149" i="4" s="1"/>
  <c r="O142" i="4"/>
  <c r="O133" i="4"/>
  <c r="P133" i="4" s="1"/>
  <c r="Q133" i="4" s="1"/>
  <c r="O126" i="4"/>
  <c r="O117" i="4"/>
  <c r="O110" i="4"/>
  <c r="P110" i="4" s="1"/>
  <c r="Q110" i="4" s="1"/>
  <c r="O101" i="4"/>
  <c r="O94" i="4"/>
  <c r="P94" i="4" s="1"/>
  <c r="Q94" i="4" s="1"/>
  <c r="O85" i="4"/>
  <c r="P85" i="4" s="1"/>
  <c r="Q85" i="4" s="1"/>
  <c r="O78" i="4"/>
  <c r="P78" i="4" s="1"/>
  <c r="Q78" i="4" s="1"/>
  <c r="O69" i="4"/>
  <c r="O62" i="4"/>
  <c r="O53" i="4"/>
  <c r="P53" i="4" s="1"/>
  <c r="Q53" i="4" s="1"/>
  <c r="O46" i="4"/>
  <c r="P46" i="4" s="1"/>
  <c r="Q46" i="4" s="1"/>
  <c r="O37" i="4"/>
  <c r="O30" i="4"/>
  <c r="P30" i="4" s="1"/>
  <c r="Q30" i="4" s="1"/>
  <c r="O21" i="4"/>
  <c r="P21" i="4" s="1"/>
  <c r="Q21" i="4" s="1"/>
  <c r="O14" i="4"/>
  <c r="O5" i="4"/>
  <c r="R122" i="5"/>
  <c r="S122" i="5" s="1"/>
  <c r="R151" i="5"/>
  <c r="S151" i="5" s="1"/>
  <c r="I2" i="2"/>
  <c r="L2" i="2" s="1"/>
  <c r="M2" i="2" s="1"/>
  <c r="J5" i="2"/>
  <c r="I10" i="2"/>
  <c r="J13" i="2"/>
  <c r="I18" i="2"/>
  <c r="L18" i="2" s="1"/>
  <c r="M18" i="2" s="1"/>
  <c r="J21" i="2"/>
  <c r="I26" i="2"/>
  <c r="L26" i="2" s="1"/>
  <c r="M26" i="2" s="1"/>
  <c r="J29" i="2"/>
  <c r="I34" i="2"/>
  <c r="L34" i="2" s="1"/>
  <c r="M34" i="2" s="1"/>
  <c r="R250" i="3"/>
  <c r="S253" i="3"/>
  <c r="T253" i="3" s="1"/>
  <c r="R255" i="3"/>
  <c r="R265" i="3"/>
  <c r="R270" i="3"/>
  <c r="R275" i="3"/>
  <c r="R280" i="3"/>
  <c r="S280" i="3" s="1"/>
  <c r="T280" i="3" s="1"/>
  <c r="R285" i="3"/>
  <c r="S285" i="3" s="1"/>
  <c r="T285" i="3" s="1"/>
  <c r="P38" i="4"/>
  <c r="Q38" i="4" s="1"/>
  <c r="P67" i="4"/>
  <c r="Q67" i="4" s="1"/>
  <c r="O87" i="4"/>
  <c r="P87" i="4" s="1"/>
  <c r="Q87" i="4" s="1"/>
  <c r="O89" i="4"/>
  <c r="P89" i="4" s="1"/>
  <c r="Q89" i="4" s="1"/>
  <c r="O91" i="4"/>
  <c r="O109" i="4"/>
  <c r="P109" i="4" s="1"/>
  <c r="Q109" i="4" s="1"/>
  <c r="O116" i="4"/>
  <c r="O134" i="4"/>
  <c r="P134" i="4" s="1"/>
  <c r="Q134" i="4" s="1"/>
  <c r="P141" i="4"/>
  <c r="Q141" i="4" s="1"/>
  <c r="O163" i="4"/>
  <c r="P163" i="4" s="1"/>
  <c r="Q163" i="4" s="1"/>
  <c r="O181" i="4"/>
  <c r="O195" i="4"/>
  <c r="P195" i="4" s="1"/>
  <c r="Q195" i="4" s="1"/>
  <c r="P198" i="4"/>
  <c r="Q198" i="4" s="1"/>
  <c r="O203" i="4"/>
  <c r="P203" i="4" s="1"/>
  <c r="Q203" i="4" s="1"/>
  <c r="O205" i="4"/>
  <c r="P215" i="4"/>
  <c r="Q215" i="4" s="1"/>
  <c r="P218" i="4"/>
  <c r="Q218" i="4" s="1"/>
  <c r="O201" i="3"/>
  <c r="S201" i="3" s="1"/>
  <c r="T201" i="3" s="1"/>
  <c r="O209" i="3"/>
  <c r="S209" i="3" s="1"/>
  <c r="T209" i="3" s="1"/>
  <c r="O217" i="3"/>
  <c r="O225" i="3"/>
  <c r="S225" i="3" s="1"/>
  <c r="T225" i="3" s="1"/>
  <c r="O233" i="3"/>
  <c r="S233" i="3" s="1"/>
  <c r="T233" i="3" s="1"/>
  <c r="P234" i="3"/>
  <c r="S234" i="3" s="1"/>
  <c r="T234" i="3" s="1"/>
  <c r="O241" i="3"/>
  <c r="S241" i="3" s="1"/>
  <c r="T241" i="3" s="1"/>
  <c r="P242" i="3"/>
  <c r="O249" i="3"/>
  <c r="S249" i="3" s="1"/>
  <c r="T249" i="3" s="1"/>
  <c r="P250" i="3"/>
  <c r="O257" i="3"/>
  <c r="S257" i="3" s="1"/>
  <c r="T257" i="3" s="1"/>
  <c r="P258" i="3"/>
  <c r="S258" i="3" s="1"/>
  <c r="T258" i="3" s="1"/>
  <c r="O265" i="3"/>
  <c r="P266" i="3"/>
  <c r="S266" i="3" s="1"/>
  <c r="T266" i="3" s="1"/>
  <c r="O273" i="3"/>
  <c r="S273" i="3" s="1"/>
  <c r="T273" i="3" s="1"/>
  <c r="P274" i="3"/>
  <c r="S274" i="3" s="1"/>
  <c r="T274" i="3" s="1"/>
  <c r="O281" i="3"/>
  <c r="S281" i="3" s="1"/>
  <c r="T281" i="3" s="1"/>
  <c r="P282" i="3"/>
  <c r="S282" i="3" s="1"/>
  <c r="T282" i="3" s="1"/>
  <c r="O289" i="3"/>
  <c r="S289" i="3" s="1"/>
  <c r="T289" i="3" s="1"/>
  <c r="P290" i="3"/>
  <c r="O294" i="3"/>
  <c r="S294" i="3" s="1"/>
  <c r="T294" i="3" s="1"/>
  <c r="P295" i="3"/>
  <c r="S295" i="3" s="1"/>
  <c r="T295" i="3" s="1"/>
  <c r="P300" i="3"/>
  <c r="O309" i="3"/>
  <c r="O314" i="3"/>
  <c r="O319" i="3"/>
  <c r="R12" i="5"/>
  <c r="S12" i="5" s="1"/>
  <c r="R37" i="5"/>
  <c r="S37" i="5" s="1"/>
  <c r="R109" i="5"/>
  <c r="S109" i="5" s="1"/>
  <c r="O320" i="3"/>
  <c r="S320" i="3" s="1"/>
  <c r="T320" i="3" s="1"/>
  <c r="O312" i="3"/>
  <c r="O304" i="3"/>
  <c r="S304" i="3" s="1"/>
  <c r="T304" i="3" s="1"/>
  <c r="O296" i="3"/>
  <c r="R15" i="5"/>
  <c r="S15" i="5" s="1"/>
  <c r="O310" i="3"/>
  <c r="S310" i="3" s="1"/>
  <c r="T310" i="3" s="1"/>
  <c r="P321" i="3"/>
  <c r="P313" i="3"/>
  <c r="P305" i="3"/>
  <c r="S305" i="3" s="1"/>
  <c r="T305" i="3" s="1"/>
  <c r="P297" i="3"/>
  <c r="S297" i="3" s="1"/>
  <c r="T297" i="3" s="1"/>
  <c r="P69" i="4"/>
  <c r="Q69" i="4" s="1"/>
  <c r="P117" i="4"/>
  <c r="Q117" i="4" s="1"/>
  <c r="R5" i="5"/>
  <c r="S5" i="5" s="1"/>
  <c r="R55" i="5"/>
  <c r="S55" i="5" s="1"/>
  <c r="R47" i="5"/>
  <c r="S47" i="5" s="1"/>
  <c r="R70" i="5"/>
  <c r="S70" i="5" s="1"/>
  <c r="R111" i="5"/>
  <c r="S111" i="5" s="1"/>
  <c r="L225" i="4"/>
  <c r="P225" i="4" s="1"/>
  <c r="Q225" i="4" s="1"/>
  <c r="L217" i="4"/>
  <c r="P217" i="4" s="1"/>
  <c r="Q217" i="4" s="1"/>
  <c r="L209" i="4"/>
  <c r="P209" i="4" s="1"/>
  <c r="Q209" i="4" s="1"/>
  <c r="L201" i="4"/>
  <c r="L193" i="4"/>
  <c r="P193" i="4" s="1"/>
  <c r="Q193" i="4" s="1"/>
  <c r="L185" i="4"/>
  <c r="P185" i="4" s="1"/>
  <c r="Q185" i="4" s="1"/>
  <c r="L177" i="4"/>
  <c r="P177" i="4" s="1"/>
  <c r="Q177" i="4" s="1"/>
  <c r="L169" i="4"/>
  <c r="M7" i="5"/>
  <c r="R7" i="5" s="1"/>
  <c r="S7" i="5" s="1"/>
  <c r="M18" i="5"/>
  <c r="M24" i="5"/>
  <c r="R24" i="5" s="1"/>
  <c r="S24" i="5" s="1"/>
  <c r="M33" i="5"/>
  <c r="R33" i="5" s="1"/>
  <c r="S33" i="5" s="1"/>
  <c r="M50" i="5"/>
  <c r="M56" i="5"/>
  <c r="R56" i="5" s="1"/>
  <c r="S56" i="5" s="1"/>
  <c r="M65" i="5"/>
  <c r="R65" i="5" s="1"/>
  <c r="S65" i="5" s="1"/>
  <c r="M90" i="5"/>
  <c r="R90" i="5" s="1"/>
  <c r="S90" i="5" s="1"/>
  <c r="M101" i="5"/>
  <c r="R101" i="5" s="1"/>
  <c r="S101" i="5" s="1"/>
  <c r="M121" i="5"/>
  <c r="M125" i="5"/>
  <c r="R125" i="5" s="1"/>
  <c r="S125" i="5" s="1"/>
  <c r="M178" i="5"/>
  <c r="M187" i="5"/>
  <c r="M184" i="5"/>
  <c r="M161" i="5"/>
  <c r="M158" i="5"/>
  <c r="M155" i="5"/>
  <c r="M152" i="5"/>
  <c r="M129" i="5"/>
  <c r="R129" i="5" s="1"/>
  <c r="S129" i="5" s="1"/>
  <c r="M126" i="5"/>
  <c r="M123" i="5"/>
  <c r="M120" i="5"/>
  <c r="M114" i="5"/>
  <c r="M98" i="5"/>
  <c r="M85" i="5"/>
  <c r="M74" i="5"/>
  <c r="M67" i="5"/>
  <c r="M60" i="5"/>
  <c r="M53" i="5"/>
  <c r="M42" i="5"/>
  <c r="M35" i="5"/>
  <c r="M28" i="5"/>
  <c r="M21" i="5"/>
  <c r="M10" i="5"/>
  <c r="M3" i="5"/>
  <c r="M169" i="5"/>
  <c r="M166" i="5"/>
  <c r="R166" i="5" s="1"/>
  <c r="S166" i="5" s="1"/>
  <c r="M163" i="5"/>
  <c r="R163" i="5" s="1"/>
  <c r="S163" i="5" s="1"/>
  <c r="M160" i="5"/>
  <c r="R160" i="5" s="1"/>
  <c r="S160" i="5" s="1"/>
  <c r="M137" i="5"/>
  <c r="M134" i="5"/>
  <c r="M131" i="5"/>
  <c r="R131" i="5" s="1"/>
  <c r="S131" i="5" s="1"/>
  <c r="M128" i="5"/>
  <c r="R128" i="5" s="1"/>
  <c r="S128" i="5" s="1"/>
  <c r="M110" i="5"/>
  <c r="M94" i="5"/>
  <c r="M84" i="5"/>
  <c r="M77" i="5"/>
  <c r="R77" i="5" s="1"/>
  <c r="S77" i="5" s="1"/>
  <c r="M66" i="5"/>
  <c r="R66" i="5" s="1"/>
  <c r="S66" i="5" s="1"/>
  <c r="M59" i="5"/>
  <c r="M52" i="5"/>
  <c r="R52" i="5" s="1"/>
  <c r="S52" i="5" s="1"/>
  <c r="M45" i="5"/>
  <c r="R45" i="5" s="1"/>
  <c r="S45" i="5" s="1"/>
  <c r="M34" i="5"/>
  <c r="R34" i="5" s="1"/>
  <c r="S34" i="5" s="1"/>
  <c r="M27" i="5"/>
  <c r="R27" i="5" s="1"/>
  <c r="S27" i="5" s="1"/>
  <c r="M20" i="5"/>
  <c r="R20" i="5" s="1"/>
  <c r="S20" i="5" s="1"/>
  <c r="M13" i="5"/>
  <c r="R13" i="5" s="1"/>
  <c r="S13" i="5" s="1"/>
  <c r="M2" i="5"/>
  <c r="M177" i="5"/>
  <c r="M175" i="5"/>
  <c r="M170" i="5"/>
  <c r="R170" i="5" s="1"/>
  <c r="S170" i="5" s="1"/>
  <c r="M159" i="5"/>
  <c r="M157" i="5"/>
  <c r="M146" i="5"/>
  <c r="R146" i="5" s="1"/>
  <c r="S146" i="5" s="1"/>
  <c r="M144" i="5"/>
  <c r="M142" i="5"/>
  <c r="M135" i="5"/>
  <c r="M130" i="5"/>
  <c r="R130" i="5" s="1"/>
  <c r="S130" i="5" s="1"/>
  <c r="M115" i="5"/>
  <c r="M113" i="5"/>
  <c r="M107" i="5"/>
  <c r="M92" i="5"/>
  <c r="R92" i="5" s="1"/>
  <c r="S92" i="5" s="1"/>
  <c r="M82" i="5"/>
  <c r="M72" i="5"/>
  <c r="M69" i="5"/>
  <c r="R69" i="5" s="1"/>
  <c r="S69" i="5" s="1"/>
  <c r="M64" i="5"/>
  <c r="R64" i="5" s="1"/>
  <c r="S64" i="5" s="1"/>
  <c r="M44" i="5"/>
  <c r="R44" i="5" s="1"/>
  <c r="S44" i="5" s="1"/>
  <c r="M39" i="5"/>
  <c r="R39" i="5" s="1"/>
  <c r="S39" i="5" s="1"/>
  <c r="M31" i="5"/>
  <c r="R31" i="5" s="1"/>
  <c r="S31" i="5" s="1"/>
  <c r="M29" i="5"/>
  <c r="M19" i="5"/>
  <c r="R19" i="5" s="1"/>
  <c r="S19" i="5" s="1"/>
  <c r="M6" i="5"/>
  <c r="R6" i="5" s="1"/>
  <c r="S6" i="5" s="1"/>
  <c r="M4" i="5"/>
  <c r="M183" i="5"/>
  <c r="R183" i="5" s="1"/>
  <c r="S183" i="5" s="1"/>
  <c r="M181" i="5"/>
  <c r="R181" i="5" s="1"/>
  <c r="S181" i="5" s="1"/>
  <c r="M154" i="5"/>
  <c r="M119" i="5"/>
  <c r="M117" i="5"/>
  <c r="R117" i="5" s="1"/>
  <c r="S117" i="5" s="1"/>
  <c r="M99" i="5"/>
  <c r="R99" i="5" s="1"/>
  <c r="S99" i="5" s="1"/>
  <c r="M97" i="5"/>
  <c r="M91" i="5"/>
  <c r="R91" i="5" s="1"/>
  <c r="S91" i="5" s="1"/>
  <c r="M76" i="5"/>
  <c r="R76" i="5" s="1"/>
  <c r="S76" i="5" s="1"/>
  <c r="M71" i="5"/>
  <c r="R71" i="5" s="1"/>
  <c r="S71" i="5" s="1"/>
  <c r="M63" i="5"/>
  <c r="R63" i="5" s="1"/>
  <c r="S63" i="5" s="1"/>
  <c r="M61" i="5"/>
  <c r="M51" i="5"/>
  <c r="R51" i="5" s="1"/>
  <c r="S51" i="5" s="1"/>
  <c r="M38" i="5"/>
  <c r="R38" i="5" s="1"/>
  <c r="S38" i="5" s="1"/>
  <c r="M36" i="5"/>
  <c r="M26" i="5"/>
  <c r="R26" i="5" s="1"/>
  <c r="S26" i="5" s="1"/>
  <c r="M23" i="5"/>
  <c r="R23" i="5" s="1"/>
  <c r="S23" i="5" s="1"/>
  <c r="M16" i="5"/>
  <c r="R16" i="5" s="1"/>
  <c r="S16" i="5" s="1"/>
  <c r="M11" i="5"/>
  <c r="R11" i="5" s="1"/>
  <c r="S11" i="5" s="1"/>
  <c r="M93" i="5"/>
  <c r="R93" i="5" s="1"/>
  <c r="S93" i="5" s="1"/>
  <c r="M95" i="5"/>
  <c r="M116" i="5"/>
  <c r="R116" i="5" s="1"/>
  <c r="S116" i="5" s="1"/>
  <c r="M143" i="5"/>
  <c r="M186" i="5"/>
  <c r="M188" i="5"/>
  <c r="R188" i="5" s="1"/>
  <c r="S188" i="5" s="1"/>
  <c r="L4" i="4"/>
  <c r="P4" i="4" s="1"/>
  <c r="Q4" i="4" s="1"/>
  <c r="L12" i="4"/>
  <c r="L20" i="4"/>
  <c r="L28" i="4"/>
  <c r="P28" i="4" s="1"/>
  <c r="Q28" i="4" s="1"/>
  <c r="L36" i="4"/>
  <c r="P36" i="4" s="1"/>
  <c r="Q36" i="4" s="1"/>
  <c r="L44" i="4"/>
  <c r="L52" i="4"/>
  <c r="P52" i="4" s="1"/>
  <c r="Q52" i="4" s="1"/>
  <c r="L60" i="4"/>
  <c r="P60" i="4" s="1"/>
  <c r="Q60" i="4" s="1"/>
  <c r="L68" i="4"/>
  <c r="P68" i="4" s="1"/>
  <c r="Q68" i="4" s="1"/>
  <c r="L76" i="4"/>
  <c r="L84" i="4"/>
  <c r="L92" i="4"/>
  <c r="P92" i="4" s="1"/>
  <c r="Q92" i="4" s="1"/>
  <c r="L100" i="4"/>
  <c r="P100" i="4" s="1"/>
  <c r="Q100" i="4" s="1"/>
  <c r="L108" i="4"/>
  <c r="L116" i="4"/>
  <c r="P116" i="4" s="1"/>
  <c r="Q116" i="4" s="1"/>
  <c r="L124" i="4"/>
  <c r="P124" i="4" s="1"/>
  <c r="Q124" i="4" s="1"/>
  <c r="L132" i="4"/>
  <c r="P132" i="4" s="1"/>
  <c r="Q132" i="4" s="1"/>
  <c r="L140" i="4"/>
  <c r="L148" i="4"/>
  <c r="P148" i="4" s="1"/>
  <c r="Q148" i="4" s="1"/>
  <c r="L156" i="4"/>
  <c r="P156" i="4" s="1"/>
  <c r="Q156" i="4" s="1"/>
  <c r="L164" i="4"/>
  <c r="P164" i="4" s="1"/>
  <c r="Q164" i="4" s="1"/>
  <c r="L180" i="4"/>
  <c r="L196" i="4"/>
  <c r="L212" i="4"/>
  <c r="L228" i="4"/>
  <c r="P228" i="4" s="1"/>
  <c r="Q228" i="4" s="1"/>
  <c r="M25" i="5"/>
  <c r="R25" i="5" s="1"/>
  <c r="S25" i="5" s="1"/>
  <c r="M57" i="5"/>
  <c r="M88" i="5"/>
  <c r="R88" i="5" s="1"/>
  <c r="S88" i="5" s="1"/>
  <c r="M106" i="5"/>
  <c r="R106" i="5" s="1"/>
  <c r="S106" i="5" s="1"/>
  <c r="M108" i="5"/>
  <c r="R108" i="5" s="1"/>
  <c r="S108" i="5" s="1"/>
  <c r="M118" i="5"/>
  <c r="M139" i="5"/>
  <c r="M141" i="5"/>
  <c r="R141" i="5" s="1"/>
  <c r="S141" i="5" s="1"/>
  <c r="M148" i="5"/>
  <c r="R148" i="5" s="1"/>
  <c r="S148" i="5" s="1"/>
  <c r="M165" i="5"/>
  <c r="R165" i="5" s="1"/>
  <c r="S165" i="5" s="1"/>
  <c r="M171" i="5"/>
  <c r="P84" i="5"/>
  <c r="P92" i="5"/>
  <c r="P107" i="5"/>
  <c r="P110" i="5"/>
  <c r="P113" i="5"/>
  <c r="P115" i="5"/>
  <c r="P130" i="5"/>
  <c r="P139" i="5"/>
  <c r="P142" i="5"/>
  <c r="P146" i="5"/>
  <c r="P157" i="5"/>
  <c r="P170" i="5"/>
  <c r="P177" i="5"/>
  <c r="P185" i="5"/>
  <c r="R185" i="5" s="1"/>
  <c r="S185" i="5" s="1"/>
  <c r="P182" i="5"/>
  <c r="R182" i="5" s="1"/>
  <c r="S182" i="5" s="1"/>
  <c r="P176" i="5"/>
  <c r="R176" i="5" s="1"/>
  <c r="S176" i="5" s="1"/>
  <c r="P167" i="5"/>
  <c r="R167" i="5" s="1"/>
  <c r="S167" i="5" s="1"/>
  <c r="P153" i="5"/>
  <c r="R153" i="5" s="1"/>
  <c r="S153" i="5" s="1"/>
  <c r="P150" i="5"/>
  <c r="R150" i="5" s="1"/>
  <c r="S150" i="5" s="1"/>
  <c r="P144" i="5"/>
  <c r="P135" i="5"/>
  <c r="P121" i="5"/>
  <c r="P118" i="5"/>
  <c r="P102" i="5"/>
  <c r="P82" i="5"/>
  <c r="P75" i="5"/>
  <c r="R75" i="5" s="1"/>
  <c r="S75" i="5" s="1"/>
  <c r="P68" i="5"/>
  <c r="R68" i="5" s="1"/>
  <c r="S68" i="5" s="1"/>
  <c r="P61" i="5"/>
  <c r="P50" i="5"/>
  <c r="P43" i="5"/>
  <c r="R43" i="5" s="1"/>
  <c r="S43" i="5" s="1"/>
  <c r="P36" i="5"/>
  <c r="P29" i="5"/>
  <c r="P18" i="5"/>
  <c r="P11" i="5"/>
  <c r="P4" i="5"/>
  <c r="P184" i="5"/>
  <c r="P175" i="5"/>
  <c r="P161" i="5"/>
  <c r="P158" i="5"/>
  <c r="P152" i="5"/>
  <c r="P143" i="5"/>
  <c r="P129" i="5"/>
  <c r="P126" i="5"/>
  <c r="P120" i="5"/>
  <c r="P114" i="5"/>
  <c r="P98" i="5"/>
  <c r="P85" i="5"/>
  <c r="P74" i="5"/>
  <c r="P67" i="5"/>
  <c r="P60" i="5"/>
  <c r="P53" i="5"/>
  <c r="P42" i="5"/>
  <c r="P35" i="5"/>
  <c r="P28" i="5"/>
  <c r="P21" i="5"/>
  <c r="P10" i="5"/>
  <c r="P3" i="5"/>
  <c r="E555" i="7"/>
  <c r="E547" i="7"/>
  <c r="E539" i="7"/>
  <c r="E531" i="7"/>
  <c r="E523" i="7"/>
  <c r="E515" i="7"/>
  <c r="E507" i="7"/>
  <c r="E499" i="7"/>
  <c r="E491" i="7"/>
  <c r="E483" i="7"/>
  <c r="E475" i="7"/>
  <c r="E467" i="7"/>
  <c r="E459" i="7"/>
  <c r="E451" i="7"/>
  <c r="E443" i="7"/>
  <c r="E435" i="7"/>
  <c r="E427" i="7"/>
  <c r="E419" i="7"/>
  <c r="E411" i="7"/>
  <c r="E403" i="7"/>
  <c r="E395" i="7"/>
  <c r="E387" i="7"/>
  <c r="E379" i="7"/>
  <c r="E371" i="7"/>
  <c r="E363" i="7"/>
  <c r="E355" i="7"/>
  <c r="E347" i="7"/>
  <c r="E339" i="7"/>
  <c r="E331" i="7"/>
  <c r="E323" i="7"/>
  <c r="E315" i="7"/>
  <c r="E307" i="7"/>
  <c r="E299" i="7"/>
  <c r="E291" i="7"/>
  <c r="E283" i="7"/>
  <c r="E275" i="7"/>
  <c r="E267" i="7"/>
  <c r="E259" i="7"/>
  <c r="E251" i="7"/>
  <c r="E243" i="7"/>
  <c r="E235" i="7"/>
  <c r="E227" i="7"/>
  <c r="E219" i="7"/>
  <c r="E211" i="7"/>
  <c r="E203" i="7"/>
  <c r="E195" i="7"/>
  <c r="E187" i="7"/>
  <c r="E179" i="7"/>
  <c r="E171" i="7"/>
  <c r="E163" i="7"/>
  <c r="E155" i="7"/>
  <c r="E147" i="7"/>
  <c r="E139" i="7"/>
  <c r="E131" i="7"/>
  <c r="E123" i="7"/>
  <c r="E115" i="7"/>
  <c r="E107" i="7"/>
  <c r="E99" i="7"/>
  <c r="E91" i="7"/>
  <c r="E83" i="7"/>
  <c r="E75" i="7"/>
  <c r="E67" i="7"/>
  <c r="E59" i="7"/>
  <c r="E51" i="7"/>
  <c r="E43" i="7"/>
  <c r="E35" i="7"/>
  <c r="E27" i="7"/>
  <c r="E19" i="7"/>
  <c r="E12" i="7"/>
  <c r="E7" i="7"/>
  <c r="E3" i="7"/>
  <c r="E554" i="7"/>
  <c r="E546" i="7"/>
  <c r="E538" i="7"/>
  <c r="E530" i="7"/>
  <c r="E522" i="7"/>
  <c r="E514" i="7"/>
  <c r="E506" i="7"/>
  <c r="E498" i="7"/>
  <c r="E490" i="7"/>
  <c r="E482" i="7"/>
  <c r="E474" i="7"/>
  <c r="E466" i="7"/>
  <c r="E458" i="7"/>
  <c r="E450" i="7"/>
  <c r="E442" i="7"/>
  <c r="E434" i="7"/>
  <c r="E426" i="7"/>
  <c r="E418" i="7"/>
  <c r="E410" i="7"/>
  <c r="E402" i="7"/>
  <c r="E394" i="7"/>
  <c r="E386" i="7"/>
  <c r="E378" i="7"/>
  <c r="E370" i="7"/>
  <c r="E362" i="7"/>
  <c r="E354" i="7"/>
  <c r="E346" i="7"/>
  <c r="E338" i="7"/>
  <c r="E330" i="7"/>
  <c r="E322" i="7"/>
  <c r="E314" i="7"/>
  <c r="E306" i="7"/>
  <c r="E298" i="7"/>
  <c r="E290" i="7"/>
  <c r="E553" i="7"/>
  <c r="E545" i="7"/>
  <c r="E537" i="7"/>
  <c r="E529" i="7"/>
  <c r="E521" i="7"/>
  <c r="E513" i="7"/>
  <c r="E505" i="7"/>
  <c r="E497" i="7"/>
  <c r="E489" i="7"/>
  <c r="E481" i="7"/>
  <c r="E552" i="7"/>
  <c r="E551" i="7"/>
  <c r="E549" i="7"/>
  <c r="E548" i="7"/>
  <c r="E25" i="7"/>
  <c r="E34" i="7"/>
  <c r="E44" i="7"/>
  <c r="E53" i="7"/>
  <c r="E62" i="7"/>
  <c r="E71" i="7"/>
  <c r="E80" i="7"/>
  <c r="E89" i="7"/>
  <c r="E98" i="7"/>
  <c r="E108" i="7"/>
  <c r="E117" i="7"/>
  <c r="E126" i="7"/>
  <c r="E135" i="7"/>
  <c r="E144" i="7"/>
  <c r="E153" i="7"/>
  <c r="E162" i="7"/>
  <c r="E172" i="7"/>
  <c r="E181" i="7"/>
  <c r="E190" i="7"/>
  <c r="E199" i="7"/>
  <c r="E208" i="7"/>
  <c r="E217" i="7"/>
  <c r="E226" i="7"/>
  <c r="E236" i="7"/>
  <c r="E245" i="7"/>
  <c r="E254" i="7"/>
  <c r="E263" i="7"/>
  <c r="E272" i="7"/>
  <c r="E281" i="7"/>
  <c r="E292" i="7"/>
  <c r="E302" i="7"/>
  <c r="E312" i="7"/>
  <c r="E324" i="7"/>
  <c r="E334" i="7"/>
  <c r="E344" i="7"/>
  <c r="E356" i="7"/>
  <c r="E366" i="7"/>
  <c r="E376" i="7"/>
  <c r="E388" i="7"/>
  <c r="E398" i="7"/>
  <c r="E408" i="7"/>
  <c r="E420" i="7"/>
  <c r="E430" i="7"/>
  <c r="E440" i="7"/>
  <c r="E452" i="7"/>
  <c r="E462" i="7"/>
  <c r="E472" i="7"/>
  <c r="E485" i="7"/>
  <c r="E496" i="7"/>
  <c r="E510" i="7"/>
  <c r="E524" i="7"/>
  <c r="E535" i="7"/>
  <c r="E6" i="7"/>
  <c r="E11" i="7"/>
  <c r="E20" i="7"/>
  <c r="E29" i="7"/>
  <c r="E38" i="7"/>
  <c r="E47" i="7"/>
  <c r="E56" i="7"/>
  <c r="E65" i="7"/>
  <c r="E74" i="7"/>
  <c r="E84" i="7"/>
  <c r="E93" i="7"/>
  <c r="E102" i="7"/>
  <c r="E111" i="7"/>
  <c r="E120" i="7"/>
  <c r="E129" i="7"/>
  <c r="E138" i="7"/>
  <c r="E148" i="7"/>
  <c r="E157" i="7"/>
  <c r="E166" i="7"/>
  <c r="E175" i="7"/>
  <c r="E184" i="7"/>
  <c r="E193" i="7"/>
  <c r="E202" i="7"/>
  <c r="E212" i="7"/>
  <c r="E221" i="7"/>
  <c r="E230" i="7"/>
  <c r="E239" i="7"/>
  <c r="E248" i="7"/>
  <c r="E257" i="7"/>
  <c r="E266" i="7"/>
  <c r="E276" i="7"/>
  <c r="E285" i="7"/>
  <c r="E295" i="7"/>
  <c r="E305" i="7"/>
  <c r="E317" i="7"/>
  <c r="E327" i="7"/>
  <c r="E337" i="7"/>
  <c r="E349" i="7"/>
  <c r="E359" i="7"/>
  <c r="E369" i="7"/>
  <c r="E381" i="7"/>
  <c r="E391" i="7"/>
  <c r="E401" i="7"/>
  <c r="E413" i="7"/>
  <c r="E423" i="7"/>
  <c r="E433" i="7"/>
  <c r="E445" i="7"/>
  <c r="E455" i="7"/>
  <c r="E465" i="7"/>
  <c r="E477" i="7"/>
  <c r="E488" i="7"/>
  <c r="E502" i="7"/>
  <c r="E516" i="7"/>
  <c r="E527" i="7"/>
  <c r="E541" i="7"/>
  <c r="E13" i="7"/>
  <c r="E21" i="7"/>
  <c r="E30" i="7"/>
  <c r="E39" i="7"/>
  <c r="E48" i="7"/>
  <c r="E57" i="7"/>
  <c r="E66" i="7"/>
  <c r="E76" i="7"/>
  <c r="E85" i="7"/>
  <c r="E94" i="7"/>
  <c r="E103" i="7"/>
  <c r="E112" i="7"/>
  <c r="E121" i="7"/>
  <c r="E130" i="7"/>
  <c r="E140" i="7"/>
  <c r="E149" i="7"/>
  <c r="E158" i="7"/>
  <c r="E167" i="7"/>
  <c r="E176" i="7"/>
  <c r="E185" i="7"/>
  <c r="E194" i="7"/>
  <c r="E204" i="7"/>
  <c r="E213" i="7"/>
  <c r="E222" i="7"/>
  <c r="E231" i="7"/>
  <c r="E240" i="7"/>
  <c r="E249" i="7"/>
  <c r="E258" i="7"/>
  <c r="E268" i="7"/>
  <c r="E277" i="7"/>
  <c r="E286" i="7"/>
  <c r="E296" i="7"/>
  <c r="E308" i="7"/>
  <c r="E318" i="7"/>
  <c r="E328" i="7"/>
  <c r="E340" i="7"/>
  <c r="E350" i="7"/>
  <c r="E360" i="7"/>
  <c r="E372" i="7"/>
  <c r="E382" i="7"/>
  <c r="E392" i="7"/>
  <c r="E404" i="7"/>
  <c r="E414" i="7"/>
  <c r="E424" i="7"/>
  <c r="E436" i="7"/>
  <c r="E446" i="7"/>
  <c r="E456" i="7"/>
  <c r="E468" i="7"/>
  <c r="E478" i="7"/>
  <c r="E492" i="7"/>
  <c r="E503" i="7"/>
  <c r="E517" i="7"/>
  <c r="E528" i="7"/>
  <c r="E542" i="7"/>
  <c r="E14" i="7"/>
  <c r="E22" i="7"/>
  <c r="E31" i="7"/>
  <c r="E40" i="7"/>
  <c r="E49" i="7"/>
  <c r="E58" i="7"/>
  <c r="E68" i="7"/>
  <c r="E77" i="7"/>
  <c r="E86" i="7"/>
  <c r="E95" i="7"/>
  <c r="E104" i="7"/>
  <c r="E113" i="7"/>
  <c r="E122" i="7"/>
  <c r="E132" i="7"/>
  <c r="E141" i="7"/>
  <c r="E150" i="7"/>
  <c r="E159" i="7"/>
  <c r="E168" i="7"/>
  <c r="E177" i="7"/>
  <c r="E186" i="7"/>
  <c r="E196" i="7"/>
  <c r="E205" i="7"/>
  <c r="E214" i="7"/>
  <c r="E223" i="7"/>
  <c r="E232" i="7"/>
  <c r="E241" i="7"/>
  <c r="E250" i="7"/>
  <c r="E260" i="7"/>
  <c r="E269" i="7"/>
  <c r="E278" i="7"/>
  <c r="E287" i="7"/>
  <c r="E297" i="7"/>
  <c r="E309" i="7"/>
  <c r="E319" i="7"/>
  <c r="E329" i="7"/>
  <c r="E341" i="7"/>
  <c r="E351" i="7"/>
  <c r="E361" i="7"/>
  <c r="E373" i="7"/>
  <c r="E383" i="7"/>
  <c r="E393" i="7"/>
  <c r="E405" i="7"/>
  <c r="E415" i="7"/>
  <c r="E425" i="7"/>
  <c r="E437" i="7"/>
  <c r="E447" i="7"/>
  <c r="E457" i="7"/>
  <c r="E469" i="7"/>
  <c r="E479" i="7"/>
  <c r="E493" i="7"/>
  <c r="E504" i="7"/>
  <c r="E518" i="7"/>
  <c r="E532" i="7"/>
  <c r="E543" i="7"/>
  <c r="E8" i="7"/>
  <c r="E15" i="7"/>
  <c r="E23" i="7"/>
  <c r="E32" i="7"/>
  <c r="E41" i="7"/>
  <c r="E50" i="7"/>
  <c r="E60" i="7"/>
  <c r="E69" i="7"/>
  <c r="E78" i="7"/>
  <c r="E87" i="7"/>
  <c r="E96" i="7"/>
  <c r="E105" i="7"/>
  <c r="E114" i="7"/>
  <c r="E124" i="7"/>
  <c r="E133" i="7"/>
  <c r="E142" i="7"/>
  <c r="E151" i="7"/>
  <c r="E160" i="7"/>
  <c r="E169" i="7"/>
  <c r="E178" i="7"/>
  <c r="E188" i="7"/>
  <c r="E197" i="7"/>
  <c r="E206" i="7"/>
  <c r="E215" i="7"/>
  <c r="E224" i="7"/>
  <c r="E233" i="7"/>
  <c r="E242" i="7"/>
  <c r="E252" i="7"/>
  <c r="E261" i="7"/>
  <c r="E270" i="7"/>
  <c r="E279" i="7"/>
  <c r="E288" i="7"/>
  <c r="E300" i="7"/>
  <c r="E310" i="7"/>
  <c r="E320" i="7"/>
  <c r="E332" i="7"/>
  <c r="E342" i="7"/>
  <c r="E352" i="7"/>
  <c r="E364" i="7"/>
  <c r="E374" i="7"/>
  <c r="E384" i="7"/>
  <c r="E396" i="7"/>
  <c r="E406" i="7"/>
  <c r="E416" i="7"/>
  <c r="E428" i="7"/>
  <c r="E438" i="7"/>
  <c r="E448" i="7"/>
  <c r="E460" i="7"/>
  <c r="E470" i="7"/>
  <c r="E480" i="7"/>
  <c r="E494" i="7"/>
  <c r="E508" i="7"/>
  <c r="E519" i="7"/>
  <c r="E533" i="7"/>
  <c r="E544" i="7"/>
  <c r="O119" i="5"/>
  <c r="O123" i="5"/>
  <c r="O127" i="5"/>
  <c r="R127" i="5" s="1"/>
  <c r="S127" i="5" s="1"/>
  <c r="O131" i="5"/>
  <c r="O135" i="5"/>
  <c r="O139" i="5"/>
  <c r="O143" i="5"/>
  <c r="O147" i="5"/>
  <c r="O151" i="5"/>
  <c r="O155" i="5"/>
  <c r="O159" i="5"/>
  <c r="O163" i="5"/>
  <c r="O167" i="5"/>
  <c r="O171" i="5"/>
  <c r="O175" i="5"/>
  <c r="O179" i="5"/>
  <c r="O183" i="5"/>
  <c r="E4" i="7"/>
  <c r="E16" i="7"/>
  <c r="E24" i="7"/>
  <c r="E33" i="7"/>
  <c r="E42" i="7"/>
  <c r="E52" i="7"/>
  <c r="E61" i="7"/>
  <c r="E70" i="7"/>
  <c r="E79" i="7"/>
  <c r="E88" i="7"/>
  <c r="E97" i="7"/>
  <c r="E106" i="7"/>
  <c r="E116" i="7"/>
  <c r="E125" i="7"/>
  <c r="E134" i="7"/>
  <c r="E143" i="7"/>
  <c r="E152" i="7"/>
  <c r="E161" i="7"/>
  <c r="E170" i="7"/>
  <c r="E180" i="7"/>
  <c r="E189" i="7"/>
  <c r="E198" i="7"/>
  <c r="E207" i="7"/>
  <c r="E216" i="7"/>
  <c r="E225" i="7"/>
  <c r="E234" i="7"/>
  <c r="E244" i="7"/>
  <c r="E253" i="7"/>
  <c r="E262" i="7"/>
  <c r="E271" i="7"/>
  <c r="E280" i="7"/>
  <c r="E289" i="7"/>
  <c r="E301" i="7"/>
  <c r="E311" i="7"/>
  <c r="E321" i="7"/>
  <c r="E333" i="7"/>
  <c r="E343" i="7"/>
  <c r="E353" i="7"/>
  <c r="E365" i="7"/>
  <c r="E375" i="7"/>
  <c r="E385" i="7"/>
  <c r="E397" i="7"/>
  <c r="E407" i="7"/>
  <c r="E417" i="7"/>
  <c r="E429" i="7"/>
  <c r="E439" i="7"/>
  <c r="E449" i="7"/>
  <c r="E461" i="7"/>
  <c r="E471" i="7"/>
  <c r="E484" i="7"/>
  <c r="E495" i="7"/>
  <c r="E509" i="7"/>
  <c r="E520" i="7"/>
  <c r="E534" i="7"/>
  <c r="E550" i="7"/>
  <c r="R171" i="5" l="1"/>
  <c r="S171" i="5" s="1"/>
  <c r="R95" i="5"/>
  <c r="S95" i="5" s="1"/>
  <c r="R120" i="5"/>
  <c r="S120" i="5" s="1"/>
  <c r="P91" i="4"/>
  <c r="Q91" i="4" s="1"/>
  <c r="P114" i="4"/>
  <c r="Q114" i="4" s="1"/>
  <c r="L37" i="2"/>
  <c r="M37" i="2" s="1"/>
  <c r="S44" i="3"/>
  <c r="T44" i="3" s="1"/>
  <c r="S172" i="3"/>
  <c r="T172" i="3" s="1"/>
  <c r="S42" i="3"/>
  <c r="T42" i="3" s="1"/>
  <c r="S170" i="3"/>
  <c r="T170" i="3" s="1"/>
  <c r="P227" i="4"/>
  <c r="Q227" i="4" s="1"/>
  <c r="R57" i="5"/>
  <c r="S57" i="5" s="1"/>
  <c r="P20" i="4"/>
  <c r="Q20" i="4" s="1"/>
  <c r="R94" i="5"/>
  <c r="S94" i="5" s="1"/>
  <c r="R187" i="5"/>
  <c r="S187" i="5" s="1"/>
  <c r="S309" i="3"/>
  <c r="T309" i="3" s="1"/>
  <c r="S242" i="3"/>
  <c r="T242" i="3" s="1"/>
  <c r="S275" i="3"/>
  <c r="T275" i="3" s="1"/>
  <c r="P62" i="4"/>
  <c r="Q62" i="4" s="1"/>
  <c r="P126" i="4"/>
  <c r="Q126" i="4" s="1"/>
  <c r="P187" i="4"/>
  <c r="Q187" i="4" s="1"/>
  <c r="P88" i="4"/>
  <c r="Q88" i="4" s="1"/>
  <c r="P152" i="4"/>
  <c r="Q152" i="4" s="1"/>
  <c r="P183" i="4"/>
  <c r="Q183" i="4" s="1"/>
  <c r="S244" i="3"/>
  <c r="T244" i="3" s="1"/>
  <c r="S306" i="3"/>
  <c r="T306" i="3" s="1"/>
  <c r="S299" i="3"/>
  <c r="T299" i="3" s="1"/>
  <c r="P137" i="4"/>
  <c r="Q137" i="4" s="1"/>
  <c r="P80" i="4"/>
  <c r="Q80" i="4" s="1"/>
  <c r="S52" i="3"/>
  <c r="T52" i="3" s="1"/>
  <c r="S116" i="3"/>
  <c r="T116" i="3" s="1"/>
  <c r="S180" i="3"/>
  <c r="T180" i="3" s="1"/>
  <c r="S50" i="3"/>
  <c r="T50" i="3" s="1"/>
  <c r="S114" i="3"/>
  <c r="T114" i="3" s="1"/>
  <c r="S178" i="3"/>
  <c r="T178" i="3" s="1"/>
  <c r="P123" i="4"/>
  <c r="Q123" i="4" s="1"/>
  <c r="S188" i="3"/>
  <c r="T188" i="3" s="1"/>
  <c r="S262" i="3"/>
  <c r="T262" i="3" s="1"/>
  <c r="R102" i="5"/>
  <c r="S102" i="5" s="1"/>
  <c r="R84" i="5"/>
  <c r="S84" i="5" s="1"/>
  <c r="R42" i="5"/>
  <c r="S42" i="5" s="1"/>
  <c r="R184" i="5"/>
  <c r="S184" i="5" s="1"/>
  <c r="S314" i="3"/>
  <c r="T314" i="3" s="1"/>
  <c r="P17" i="4"/>
  <c r="Q17" i="4" s="1"/>
  <c r="S224" i="3"/>
  <c r="T224" i="3" s="1"/>
  <c r="S108" i="3"/>
  <c r="T108" i="3" s="1"/>
  <c r="S239" i="3"/>
  <c r="T239" i="3" s="1"/>
  <c r="S106" i="3"/>
  <c r="T106" i="3" s="1"/>
  <c r="S206" i="3"/>
  <c r="T206" i="3" s="1"/>
  <c r="R179" i="5"/>
  <c r="S179" i="5" s="1"/>
  <c r="R147" i="5"/>
  <c r="S147" i="5" s="1"/>
  <c r="P140" i="4"/>
  <c r="Q140" i="4" s="1"/>
  <c r="P76" i="4"/>
  <c r="Q76" i="4" s="1"/>
  <c r="P12" i="4"/>
  <c r="Q12" i="4" s="1"/>
  <c r="R154" i="5"/>
  <c r="S154" i="5" s="1"/>
  <c r="R113" i="5"/>
  <c r="S113" i="5" s="1"/>
  <c r="R159" i="5"/>
  <c r="S159" i="5" s="1"/>
  <c r="R110" i="5"/>
  <c r="S110" i="5" s="1"/>
  <c r="R169" i="5"/>
  <c r="S169" i="5" s="1"/>
  <c r="R60" i="5"/>
  <c r="S60" i="5" s="1"/>
  <c r="R126" i="5"/>
  <c r="S126" i="5" s="1"/>
  <c r="R178" i="5"/>
  <c r="S178" i="5" s="1"/>
  <c r="P201" i="4"/>
  <c r="Q201" i="4" s="1"/>
  <c r="S296" i="3"/>
  <c r="T296" i="3" s="1"/>
  <c r="S300" i="3"/>
  <c r="T300" i="3" s="1"/>
  <c r="S270" i="3"/>
  <c r="T270" i="3" s="1"/>
  <c r="P33" i="4"/>
  <c r="Q33" i="4" s="1"/>
  <c r="P97" i="4"/>
  <c r="Q97" i="4" s="1"/>
  <c r="P161" i="4"/>
  <c r="Q161" i="4" s="1"/>
  <c r="P66" i="4"/>
  <c r="Q66" i="4" s="1"/>
  <c r="P130" i="4"/>
  <c r="Q130" i="4" s="1"/>
  <c r="P192" i="4"/>
  <c r="Q192" i="4" s="1"/>
  <c r="P191" i="4"/>
  <c r="Q191" i="4" s="1"/>
  <c r="P186" i="4"/>
  <c r="Q186" i="4" s="1"/>
  <c r="S252" i="3"/>
  <c r="T252" i="3" s="1"/>
  <c r="L27" i="2"/>
  <c r="M27" i="2" s="1"/>
  <c r="P71" i="4"/>
  <c r="Q71" i="4" s="1"/>
  <c r="S58" i="3"/>
  <c r="T58" i="3" s="1"/>
  <c r="S122" i="3"/>
  <c r="T122" i="3" s="1"/>
  <c r="S186" i="3"/>
  <c r="T186" i="3" s="1"/>
  <c r="P121" i="4"/>
  <c r="Q121" i="4" s="1"/>
  <c r="S197" i="3"/>
  <c r="T197" i="3" s="1"/>
  <c r="P19" i="4"/>
  <c r="Q19" i="4" s="1"/>
  <c r="R3" i="5"/>
  <c r="S3" i="5" s="1"/>
  <c r="S10" i="3"/>
  <c r="T10" i="3" s="1"/>
  <c r="S74" i="3"/>
  <c r="T74" i="3" s="1"/>
  <c r="S138" i="3"/>
  <c r="T138" i="3" s="1"/>
  <c r="P7" i="4"/>
  <c r="Q7" i="4" s="1"/>
  <c r="R67" i="5"/>
  <c r="S67" i="5" s="1"/>
  <c r="R186" i="5"/>
  <c r="S186" i="5" s="1"/>
  <c r="S313" i="3"/>
  <c r="T313" i="3" s="1"/>
  <c r="S290" i="3"/>
  <c r="T290" i="3" s="1"/>
  <c r="P188" i="4"/>
  <c r="Q188" i="4" s="1"/>
  <c r="P56" i="4"/>
  <c r="Q56" i="4" s="1"/>
  <c r="P90" i="4"/>
  <c r="Q90" i="4" s="1"/>
  <c r="R18" i="5"/>
  <c r="S18" i="5" s="1"/>
  <c r="S265" i="3"/>
  <c r="T265" i="3" s="1"/>
  <c r="R59" i="5"/>
  <c r="S59" i="5" s="1"/>
  <c r="R134" i="5"/>
  <c r="S134" i="5" s="1"/>
  <c r="P158" i="4"/>
  <c r="Q158" i="4" s="1"/>
  <c r="P120" i="4"/>
  <c r="Q120" i="4" s="1"/>
  <c r="S212" i="3"/>
  <c r="T212" i="3" s="1"/>
  <c r="L3" i="2"/>
  <c r="M3" i="2" s="1"/>
  <c r="P118" i="4"/>
  <c r="Q118" i="4" s="1"/>
  <c r="S18" i="3"/>
  <c r="T18" i="3" s="1"/>
  <c r="S82" i="3"/>
  <c r="T82" i="3" s="1"/>
  <c r="S146" i="3"/>
  <c r="T146" i="3" s="1"/>
  <c r="P180" i="4"/>
  <c r="Q180" i="4" s="1"/>
  <c r="P108" i="4"/>
  <c r="Q108" i="4" s="1"/>
  <c r="P44" i="4"/>
  <c r="Q44" i="4" s="1"/>
  <c r="R97" i="5"/>
  <c r="S97" i="5" s="1"/>
  <c r="R72" i="5"/>
  <c r="S72" i="5" s="1"/>
  <c r="R2" i="5"/>
  <c r="S2" i="5" s="1"/>
  <c r="R137" i="5"/>
  <c r="S137" i="5" s="1"/>
  <c r="S321" i="3"/>
  <c r="T321" i="3" s="1"/>
  <c r="S217" i="3"/>
  <c r="T217" i="3" s="1"/>
  <c r="P205" i="4"/>
  <c r="Q205" i="4" s="1"/>
  <c r="S250" i="3"/>
  <c r="T250" i="3" s="1"/>
  <c r="P101" i="4"/>
  <c r="Q101" i="4" s="1"/>
  <c r="P222" i="4"/>
  <c r="Q222" i="4" s="1"/>
  <c r="P65" i="4"/>
  <c r="Q65" i="4" s="1"/>
  <c r="P98" i="4"/>
  <c r="Q98" i="4" s="1"/>
  <c r="P162" i="4"/>
  <c r="Q162" i="4" s="1"/>
  <c r="P224" i="4"/>
  <c r="Q224" i="4" s="1"/>
  <c r="S220" i="3"/>
  <c r="T220" i="3" s="1"/>
  <c r="S284" i="3"/>
  <c r="T284" i="3" s="1"/>
  <c r="L16" i="2"/>
  <c r="M16" i="2" s="1"/>
  <c r="P51" i="4"/>
  <c r="Q51" i="4" s="1"/>
  <c r="P45" i="4"/>
  <c r="Q45" i="4" s="1"/>
  <c r="S28" i="3"/>
  <c r="T28" i="3" s="1"/>
  <c r="S92" i="3"/>
  <c r="T92" i="3" s="1"/>
  <c r="S156" i="3"/>
  <c r="T156" i="3" s="1"/>
  <c r="S26" i="3"/>
  <c r="T26" i="3" s="1"/>
  <c r="S90" i="3"/>
  <c r="T90" i="3" s="1"/>
  <c r="S154" i="3"/>
  <c r="T154" i="3" s="1"/>
  <c r="S219" i="3"/>
  <c r="T219" i="3" s="1"/>
  <c r="S263" i="3"/>
  <c r="T263" i="3" s="1"/>
  <c r="R29" i="5"/>
  <c r="S29" i="5" s="1"/>
  <c r="L21" i="2"/>
  <c r="M21" i="2" s="1"/>
  <c r="P84" i="4"/>
  <c r="Q84" i="4" s="1"/>
  <c r="R61" i="5"/>
  <c r="S61" i="5" s="1"/>
  <c r="R119" i="5"/>
  <c r="S119" i="5" s="1"/>
  <c r="R107" i="5"/>
  <c r="S107" i="5" s="1"/>
  <c r="R157" i="5"/>
  <c r="S157" i="5" s="1"/>
  <c r="R53" i="5"/>
  <c r="S53" i="5" s="1"/>
  <c r="R123" i="5"/>
  <c r="S123" i="5" s="1"/>
  <c r="R50" i="5"/>
  <c r="S50" i="5" s="1"/>
  <c r="L8" i="2"/>
  <c r="M8" i="2" s="1"/>
  <c r="L29" i="2"/>
  <c r="M29" i="2" s="1"/>
  <c r="R139" i="5"/>
  <c r="S139" i="5" s="1"/>
  <c r="R74" i="5"/>
  <c r="S74" i="5" s="1"/>
  <c r="R121" i="5"/>
  <c r="S121" i="5" s="1"/>
  <c r="R118" i="5"/>
  <c r="S118" i="5" s="1"/>
  <c r="P196" i="4"/>
  <c r="Q196" i="4" s="1"/>
  <c r="R4" i="5"/>
  <c r="S4" i="5" s="1"/>
  <c r="R135" i="5"/>
  <c r="S135" i="5" s="1"/>
  <c r="R177" i="5"/>
  <c r="S177" i="5" s="1"/>
  <c r="R21" i="5"/>
  <c r="S21" i="5" s="1"/>
  <c r="R85" i="5"/>
  <c r="S85" i="5" s="1"/>
  <c r="R155" i="5"/>
  <c r="S155" i="5" s="1"/>
  <c r="S312" i="3"/>
  <c r="T312" i="3" s="1"/>
  <c r="L43" i="2"/>
  <c r="M43" i="2" s="1"/>
  <c r="L40" i="2"/>
  <c r="M40" i="2" s="1"/>
  <c r="R115" i="5"/>
  <c r="S115" i="5" s="1"/>
  <c r="P212" i="4"/>
  <c r="Q212" i="4" s="1"/>
  <c r="R175" i="5"/>
  <c r="S175" i="5" s="1"/>
  <c r="R10" i="5"/>
  <c r="S10" i="5" s="1"/>
  <c r="R152" i="5"/>
  <c r="S152" i="5" s="1"/>
  <c r="R143" i="5"/>
  <c r="S143" i="5" s="1"/>
  <c r="R36" i="5"/>
  <c r="S36" i="5" s="1"/>
  <c r="R142" i="5"/>
  <c r="S142" i="5" s="1"/>
  <c r="R28" i="5"/>
  <c r="S28" i="5" s="1"/>
  <c r="R98" i="5"/>
  <c r="S98" i="5" s="1"/>
  <c r="R158" i="5"/>
  <c r="S158" i="5" s="1"/>
  <c r="P169" i="4"/>
  <c r="Q169" i="4" s="1"/>
  <c r="S319" i="3"/>
  <c r="T319" i="3" s="1"/>
  <c r="L31" i="2"/>
  <c r="M31" i="2" s="1"/>
  <c r="L35" i="2"/>
  <c r="M35" i="2" s="1"/>
  <c r="L5" i="2"/>
  <c r="M5" i="2" s="1"/>
  <c r="R82" i="5"/>
  <c r="S82" i="5" s="1"/>
  <c r="R144" i="5"/>
  <c r="S144" i="5" s="1"/>
  <c r="R35" i="5"/>
  <c r="S35" i="5" s="1"/>
  <c r="R114" i="5"/>
  <c r="S114" i="5" s="1"/>
  <c r="R161" i="5"/>
  <c r="S161" i="5" s="1"/>
  <c r="L10" i="2"/>
  <c r="M10" i="2" s="1"/>
  <c r="L13" i="2"/>
  <c r="M13" i="2" s="1"/>
</calcChain>
</file>

<file path=xl/sharedStrings.xml><?xml version="1.0" encoding="utf-8"?>
<sst xmlns="http://schemas.openxmlformats.org/spreadsheetml/2006/main" count="7274" uniqueCount="861">
  <si>
    <t>Player</t>
  </si>
  <si>
    <t>Nation</t>
  </si>
  <si>
    <t>Team</t>
  </si>
  <si>
    <t>Age</t>
  </si>
  <si>
    <t>Games</t>
  </si>
  <si>
    <t>Min</t>
  </si>
  <si>
    <t>Saves</t>
  </si>
  <si>
    <t>Save_perc</t>
  </si>
  <si>
    <t>Min_Rating</t>
  </si>
  <si>
    <t>Saves_Rating</t>
  </si>
  <si>
    <t>Save_perc_R</t>
  </si>
  <si>
    <t>Overall_Rating</t>
  </si>
  <si>
    <t>Rating</t>
  </si>
  <si>
    <t>Alisson</t>
  </si>
  <si>
    <t>BRA</t>
  </si>
  <si>
    <t>Liverpool</t>
  </si>
  <si>
    <t>Alphonse Areola</t>
  </si>
  <si>
    <t>FRA</t>
  </si>
  <si>
    <t>West Ham</t>
  </si>
  <si>
    <t>Kepa Arrizabalaga</t>
  </si>
  <si>
    <t>ESP</t>
  </si>
  <si>
    <t>Chelsea</t>
  </si>
  <si>
    <t>Daniel Bachmann</t>
  </si>
  <si>
    <t>AUT</t>
  </si>
  <si>
    <t>Watford</t>
  </si>
  <si>
    <t>Asmir Begović</t>
  </si>
  <si>
    <t>BIH</t>
  </si>
  <si>
    <t>Everton</t>
  </si>
  <si>
    <t>Jack Butland</t>
  </si>
  <si>
    <t>ENG</t>
  </si>
  <si>
    <t>Crystal Palace</t>
  </si>
  <si>
    <t>Willy Caballero</t>
  </si>
  <si>
    <t>ARG</t>
  </si>
  <si>
    <t>Southampton</t>
  </si>
  <si>
    <t>Karl Darlow</t>
  </si>
  <si>
    <t>Newcastle Utd</t>
  </si>
  <si>
    <t>Martin Dúbravka</t>
  </si>
  <si>
    <t>SVK</t>
  </si>
  <si>
    <t>Ederson</t>
  </si>
  <si>
    <t>Manchester City</t>
  </si>
  <si>
    <t>Łukasz Fabiański</t>
  </si>
  <si>
    <t>POL</t>
  </si>
  <si>
    <t>Álvaro Fernández</t>
  </si>
  <si>
    <t>Brentford</t>
  </si>
  <si>
    <t>Fraser Forster</t>
  </si>
  <si>
    <t>Ben Foster</t>
  </si>
  <si>
    <t>David de Gea</t>
  </si>
  <si>
    <t>Manchester Utd</t>
  </si>
  <si>
    <t>Vicente Guaita</t>
  </si>
  <si>
    <t>Angus Gunn</t>
  </si>
  <si>
    <t>Norwich City</t>
  </si>
  <si>
    <t>Wayne Hennessey</t>
  </si>
  <si>
    <t>WAL</t>
  </si>
  <si>
    <t>Burnley</t>
  </si>
  <si>
    <t>Caoimhín Kelleher</t>
  </si>
  <si>
    <t>IRL</t>
  </si>
  <si>
    <t>Kristoffer Klaesson</t>
  </si>
  <si>
    <t>NOR</t>
  </si>
  <si>
    <t>Leeds United</t>
  </si>
  <si>
    <t>Tim Krul</t>
  </si>
  <si>
    <t>NED</t>
  </si>
  <si>
    <t>Bernd Leno</t>
  </si>
  <si>
    <t>GER</t>
  </si>
  <si>
    <t>Arsenal</t>
  </si>
  <si>
    <t>Hugo Lloris</t>
  </si>
  <si>
    <t>Tottenham</t>
  </si>
  <si>
    <t>Jonas Lössl</t>
  </si>
  <si>
    <t>DEN</t>
  </si>
  <si>
    <t>Emiliano Martínez</t>
  </si>
  <si>
    <t>Aston Villa</t>
  </si>
  <si>
    <t>Alex McCarthy</t>
  </si>
  <si>
    <t>Edouard Mendy</t>
  </si>
  <si>
    <t>SEN</t>
  </si>
  <si>
    <t>Illan Meslier</t>
  </si>
  <si>
    <t>Robin Olsen</t>
  </si>
  <si>
    <t>SWE</t>
  </si>
  <si>
    <t>Jordan Pickford</t>
  </si>
  <si>
    <t>Nick Pope</t>
  </si>
  <si>
    <t>Aaron Ramsdale</t>
  </si>
  <si>
    <t>David Raya</t>
  </si>
  <si>
    <t>John Ruddy</t>
  </si>
  <si>
    <t>Wolves</t>
  </si>
  <si>
    <t>José Sá</t>
  </si>
  <si>
    <t>POR</t>
  </si>
  <si>
    <t>Robert Sánchez</t>
  </si>
  <si>
    <t>Brighton</t>
  </si>
  <si>
    <t>Kasper Schmeichel</t>
  </si>
  <si>
    <t>Leicester City</t>
  </si>
  <si>
    <t>Jason Steele</t>
  </si>
  <si>
    <t>Jed Steer</t>
  </si>
  <si>
    <t>Zack Steffen</t>
  </si>
  <si>
    <t>USA</t>
  </si>
  <si>
    <t>Danny Ward</t>
  </si>
  <si>
    <t>Freddie Woodman</t>
  </si>
  <si>
    <t>Median</t>
  </si>
  <si>
    <t>Avg</t>
  </si>
  <si>
    <t/>
  </si>
  <si>
    <t>Pos</t>
  </si>
  <si>
    <t>Pressure</t>
  </si>
  <si>
    <t>Succ_perc</t>
  </si>
  <si>
    <t>Blocks</t>
  </si>
  <si>
    <t>Goal_Assist</t>
  </si>
  <si>
    <t>Yellow_C</t>
  </si>
  <si>
    <t>Red_C</t>
  </si>
  <si>
    <t>Pressure_Rating</t>
  </si>
  <si>
    <t>Blocks_Rating</t>
  </si>
  <si>
    <t>Goal_Assist_Rating</t>
  </si>
  <si>
    <t>Cards_Rating</t>
  </si>
  <si>
    <t>Max Aarons</t>
  </si>
  <si>
    <t>DF</t>
  </si>
  <si>
    <t>Rayan Aït Nouri</t>
  </si>
  <si>
    <t>Kristoffer Ajer</t>
  </si>
  <si>
    <t>Nathan Aké</t>
  </si>
  <si>
    <t>Marc Albrighton</t>
  </si>
  <si>
    <t>FWDF</t>
  </si>
  <si>
    <t>Thiago Alcántara</t>
  </si>
  <si>
    <t>MF</t>
  </si>
  <si>
    <t>Trent Alexander-Arnold</t>
  </si>
  <si>
    <t>Allan</t>
  </si>
  <si>
    <t>Dele Alli</t>
  </si>
  <si>
    <t>Marcos Alonso</t>
  </si>
  <si>
    <t>Steven Alzate</t>
  </si>
  <si>
    <t>COL</t>
  </si>
  <si>
    <t>Daniel Amartey</t>
  </si>
  <si>
    <t>GHA</t>
  </si>
  <si>
    <t>Joachim Andersen</t>
  </si>
  <si>
    <t>Stuart Armstrong</t>
  </si>
  <si>
    <t>SCO</t>
  </si>
  <si>
    <t>Harrison Ashby</t>
  </si>
  <si>
    <t>%</t>
  </si>
  <si>
    <t>Luke Ayling</t>
  </si>
  <si>
    <t>César Azpilicueta</t>
  </si>
  <si>
    <t>Eric Bailly</t>
  </si>
  <si>
    <t>CIV</t>
  </si>
  <si>
    <t>Shandon Baptiste</t>
  </si>
  <si>
    <t>GRN</t>
  </si>
  <si>
    <t>Ross Barkley</t>
  </si>
  <si>
    <t>Lewis Bate</t>
  </si>
  <si>
    <t>Mads Bech Sørensen</t>
  </si>
  <si>
    <t>Jan Bednarek</t>
  </si>
  <si>
    <t>Donny van de Beek</t>
  </si>
  <si>
    <t>Rodrigo Bentancur</t>
  </si>
  <si>
    <t>URU</t>
  </si>
  <si>
    <t>Jóhann Berg Guðmundsson</t>
  </si>
  <si>
    <t>ISL</t>
  </si>
  <si>
    <t>Ryan Bertrand</t>
  </si>
  <si>
    <t>Mads Bidstrup</t>
  </si>
  <si>
    <t>Yves Bissouma</t>
  </si>
  <si>
    <t>MLI</t>
  </si>
  <si>
    <t>Willy Boly</t>
  </si>
  <si>
    <t>Jarrad Branthwaite</t>
  </si>
  <si>
    <t>Josh Brownhill</t>
  </si>
  <si>
    <t>Lewis Brunt</t>
  </si>
  <si>
    <t>Dan Burn</t>
  </si>
  <si>
    <t>Sam Byram</t>
  </si>
  <si>
    <t>Moisés Caicedo</t>
  </si>
  <si>
    <t>ECU</t>
  </si>
  <si>
    <t>Chem Campbell</t>
  </si>
  <si>
    <t>João Cancelo</t>
  </si>
  <si>
    <t>Sergi Canós</t>
  </si>
  <si>
    <t>Matty Cash</t>
  </si>
  <si>
    <t>Timothy Castagne</t>
  </si>
  <si>
    <t>BEL</t>
  </si>
  <si>
    <t>Jonny Castro</t>
  </si>
  <si>
    <t>Craig Cathcart</t>
  </si>
  <si>
    <t>NIR</t>
  </si>
  <si>
    <t>Trevoh Chalobah</t>
  </si>
  <si>
    <t>Calum Chambers</t>
  </si>
  <si>
    <t>Daniel Chesters</t>
  </si>
  <si>
    <t>Ben Chilwell</t>
  </si>
  <si>
    <t>Chiquinho</t>
  </si>
  <si>
    <t>DFMF</t>
  </si>
  <si>
    <t>Hamza Choudhury</t>
  </si>
  <si>
    <t>Andreas Christensen</t>
  </si>
  <si>
    <t>Ciaran Clark</t>
  </si>
  <si>
    <t>Tom Cleverley</t>
  </si>
  <si>
    <t>Nathaniel Clyne</t>
  </si>
  <si>
    <t>Conor Coady</t>
  </si>
  <si>
    <t>Séamus Coleman</t>
  </si>
  <si>
    <t>Nathan Collins</t>
  </si>
  <si>
    <t>Liam Cooper</t>
  </si>
  <si>
    <t>Jack Cork</t>
  </si>
  <si>
    <t>Hélder Costa</t>
  </si>
  <si>
    <t>ANG</t>
  </si>
  <si>
    <t>Vladimír Coufal</t>
  </si>
  <si>
    <t>CZE</t>
  </si>
  <si>
    <t>Aaron Cresswell</t>
  </si>
  <si>
    <t>Charlie Cresswell</t>
  </si>
  <si>
    <t>Marc Cucurella</t>
  </si>
  <si>
    <t>Luke Cundle</t>
  </si>
  <si>
    <t>Stuart Dallas</t>
  </si>
  <si>
    <t>Diogo Dalot</t>
  </si>
  <si>
    <t>Ben Davies</t>
  </si>
  <si>
    <t>Tom Davies</t>
  </si>
  <si>
    <t>Craig Dawson</t>
  </si>
  <si>
    <t>Kevin De Bruyne</t>
  </si>
  <si>
    <t>Fabian Delph</t>
  </si>
  <si>
    <t>Leander Dendoncker</t>
  </si>
  <si>
    <t>Kiernan Dewsbury-Hall</t>
  </si>
  <si>
    <t>Ibrahima Diallo</t>
  </si>
  <si>
    <t>Rúben Dias</t>
  </si>
  <si>
    <t>Eric Dier</t>
  </si>
  <si>
    <t>Lucas Digne</t>
  </si>
  <si>
    <t>Issa Diop</t>
  </si>
  <si>
    <t>Moussa Djenepo</t>
  </si>
  <si>
    <t>Matt Doherty</t>
  </si>
  <si>
    <t>Gabriel Dos Santos</t>
  </si>
  <si>
    <t>Abdoulaye Doucouré</t>
  </si>
  <si>
    <t>Cody Drameh</t>
  </si>
  <si>
    <t>Shane Duffy</t>
  </si>
  <si>
    <t>Paul Dummett</t>
  </si>
  <si>
    <t>Lewis Dunk</t>
  </si>
  <si>
    <t>CJ Egan-Riley</t>
  </si>
  <si>
    <t>Harvey Elliott</t>
  </si>
  <si>
    <t>Mohamed Elneny</t>
  </si>
  <si>
    <t>EGY</t>
  </si>
  <si>
    <t>Emerson</t>
  </si>
  <si>
    <t>Christian Eriksen</t>
  </si>
  <si>
    <t>Oghenekaro Etebo</t>
  </si>
  <si>
    <t>NGA</t>
  </si>
  <si>
    <t>Jonny Evans</t>
  </si>
  <si>
    <t>Fabinho</t>
  </si>
  <si>
    <t>Kiko Femenía</t>
  </si>
  <si>
    <t>Evan Ferguson</t>
  </si>
  <si>
    <t>Nathan Ferguson</t>
  </si>
  <si>
    <t>Bruno Fernandes</t>
  </si>
  <si>
    <t>Federico Fernández</t>
  </si>
  <si>
    <t>Fernandinho</t>
  </si>
  <si>
    <t>MFDF</t>
  </si>
  <si>
    <t>Junior Firpo</t>
  </si>
  <si>
    <t>Wesley Fofana</t>
  </si>
  <si>
    <t>Adam Forshaw</t>
  </si>
  <si>
    <t>Tariqe Fosu</t>
  </si>
  <si>
    <t>Fred</t>
  </si>
  <si>
    <t>Ryan Fredericks</t>
  </si>
  <si>
    <t>Leo Fuhr Hjelde</t>
  </si>
  <si>
    <t>Conor Gallagher</t>
  </si>
  <si>
    <t>Jean-Philippe Gbamin</t>
  </si>
  <si>
    <t>Saman Ghoddos</t>
  </si>
  <si>
    <t>IRN</t>
  </si>
  <si>
    <t>Dimitris Giannoulis</t>
  </si>
  <si>
    <t>GRE</t>
  </si>
  <si>
    <t>Ben Gibson</t>
  </si>
  <si>
    <t>Billy Gilmour</t>
  </si>
  <si>
    <t>Ben Godfrey</t>
  </si>
  <si>
    <t>André Gomes</t>
  </si>
  <si>
    <t>Toti Gomes</t>
  </si>
  <si>
    <t>Joe Gomez</t>
  </si>
  <si>
    <t>Charlie Goode</t>
  </si>
  <si>
    <t>Dan Gosling</t>
  </si>
  <si>
    <t>Pascal Groß</t>
  </si>
  <si>
    <t>Marc Guéhi</t>
  </si>
  <si>
    <t>Bruno Guimarães</t>
  </si>
  <si>
    <t>İlkay Gündoğan</t>
  </si>
  <si>
    <t>Grant Hanley</t>
  </si>
  <si>
    <t>Kortney Hause</t>
  </si>
  <si>
    <t>Isaac Hayden</t>
  </si>
  <si>
    <t>Jordan Henderson</t>
  </si>
  <si>
    <t>Jeff Hendrick</t>
  </si>
  <si>
    <t>Rico Henry</t>
  </si>
  <si>
    <t>Ki-Jana Hoever</t>
  </si>
  <si>
    <t>Pierre Højbjerg</t>
  </si>
  <si>
    <t>Rob Holding</t>
  </si>
  <si>
    <t>Mason Holgate</t>
  </si>
  <si>
    <t>Will Hughes</t>
  </si>
  <si>
    <t>Tim Iroegbunam</t>
  </si>
  <si>
    <t>Alex Iwobi</t>
  </si>
  <si>
    <t>Reece James</t>
  </si>
  <si>
    <t>Vitaly Janelt</t>
  </si>
  <si>
    <t>Pontus Jansson</t>
  </si>
  <si>
    <t>Mathias Jensen</t>
  </si>
  <si>
    <t>Ben Johnson</t>
  </si>
  <si>
    <t>Curtis Jones</t>
  </si>
  <si>
    <t>Phil Jones</t>
  </si>
  <si>
    <t>Mathias Jørgensen</t>
  </si>
  <si>
    <t>Jorginho</t>
  </si>
  <si>
    <t>ITA</t>
  </si>
  <si>
    <t>James Justin</t>
  </si>
  <si>
    <t>Ozan Kabak</t>
  </si>
  <si>
    <t>TUR</t>
  </si>
  <si>
    <t>Christian Kabasele</t>
  </si>
  <si>
    <t>Hassane Kamara</t>
  </si>
  <si>
    <t>N'Golo Kanté</t>
  </si>
  <si>
    <t>Edo Kayembe</t>
  </si>
  <si>
    <t>COD</t>
  </si>
  <si>
    <t>Michael Keane</t>
  </si>
  <si>
    <t>Naby Keïta</t>
  </si>
  <si>
    <t>GUI</t>
  </si>
  <si>
    <t>Kenedy</t>
  </si>
  <si>
    <t>Jonjoe Kenny</t>
  </si>
  <si>
    <t>Max Kilman</t>
  </si>
  <si>
    <t>Mateusz Klich</t>
  </si>
  <si>
    <t>Robin Koch</t>
  </si>
  <si>
    <t>Sead Kolašinac</t>
  </si>
  <si>
    <t>Ibrahima Konaté</t>
  </si>
  <si>
    <t>Ezri Konsa</t>
  </si>
  <si>
    <t>Cheikhou Kouyaté</t>
  </si>
  <si>
    <t>Mateo Kovačić</t>
  </si>
  <si>
    <t>CRO</t>
  </si>
  <si>
    <t>Emil Krafth</t>
  </si>
  <si>
    <t>Alex Král</t>
  </si>
  <si>
    <t>Juraj Kucka</t>
  </si>
  <si>
    <t>Adam Lallana</t>
  </si>
  <si>
    <t>Tariq Lamptey</t>
  </si>
  <si>
    <t>DFFW</t>
  </si>
  <si>
    <t>Aymeric Laporte</t>
  </si>
  <si>
    <t>Jamaal Lascelles</t>
  </si>
  <si>
    <t>Pierre Lees-Melou</t>
  </si>
  <si>
    <t>Aaron Lennon</t>
  </si>
  <si>
    <t>Jamal Lewis</t>
  </si>
  <si>
    <t>Victor Lindelöf</t>
  </si>
  <si>
    <t>Valentino Livramento</t>
  </si>
  <si>
    <t>Diego Llorente</t>
  </si>
  <si>
    <t>Ruben Loftus-Cheek</t>
  </si>
  <si>
    <t>Kevin Long</t>
  </si>
  <si>
    <t>Sean Longstaff</t>
  </si>
  <si>
    <t>Imran Louza</t>
  </si>
  <si>
    <t>MAR</t>
  </si>
  <si>
    <t>Matthew Lowton</t>
  </si>
  <si>
    <t>Douglas Luiz</t>
  </si>
  <si>
    <t>Lyanco</t>
  </si>
  <si>
    <t>Harry Maguire</t>
  </si>
  <si>
    <t>Ainsley Maitland-Niles</t>
  </si>
  <si>
    <t>Javier Manquillo</t>
  </si>
  <si>
    <t>Fernando Marçal</t>
  </si>
  <si>
    <t>Solly March</t>
  </si>
  <si>
    <t>Pablo Marí</t>
  </si>
  <si>
    <t>Adam Masina</t>
  </si>
  <si>
    <t>Arthur Masuaku</t>
  </si>
  <si>
    <t>Juan Mata</t>
  </si>
  <si>
    <t>Nemanja Matić</t>
  </si>
  <si>
    <t>SRB</t>
  </si>
  <si>
    <t>Joël Matip</t>
  </si>
  <si>
    <t>CMR</t>
  </si>
  <si>
    <t>James McArthur</t>
  </si>
  <si>
    <t>John McGinn</t>
  </si>
  <si>
    <t>Stuart McKinstry</t>
  </si>
  <si>
    <t>Kenny McLean</t>
  </si>
  <si>
    <t>Dwight McNeil</t>
  </si>
  <si>
    <t>Scott McTominay</t>
  </si>
  <si>
    <t>Ben Mee</t>
  </si>
  <si>
    <t>Benjamin Mendy</t>
  </si>
  <si>
    <t>Nampalys Mendy</t>
  </si>
  <si>
    <t>Luka Milivojević</t>
  </si>
  <si>
    <t>James Milner</t>
  </si>
  <si>
    <t>Yerry Mina</t>
  </si>
  <si>
    <t>Tyrone Mings</t>
  </si>
  <si>
    <t>Tyrick Mitchell</t>
  </si>
  <si>
    <t>Tyler Morton</t>
  </si>
  <si>
    <t>João Moutinho</t>
  </si>
  <si>
    <t>Bali Mumba</t>
  </si>
  <si>
    <t>Jacob Murphy</t>
  </si>
  <si>
    <t>Vitaliy Mykolenko</t>
  </si>
  <si>
    <t>UKR</t>
  </si>
  <si>
    <t>Marvelous Nakamba</t>
  </si>
  <si>
    <t>ZIM</t>
  </si>
  <si>
    <t>Wilfred Ndidi</t>
  </si>
  <si>
    <t>Tanguy Ndombele</t>
  </si>
  <si>
    <t>Rúben Neves</t>
  </si>
  <si>
    <t>Jeremy Ngakia</t>
  </si>
  <si>
    <t>Saúl Ñíguez</t>
  </si>
  <si>
    <t>Nicolas Nkoulou</t>
  </si>
  <si>
    <t>Mark Noble</t>
  </si>
  <si>
    <t>Christian Nørgaard</t>
  </si>
  <si>
    <t>Mathias Normann</t>
  </si>
  <si>
    <t>Martin Ødegaard</t>
  </si>
  <si>
    <t>Angelo Ogbonna</t>
  </si>
  <si>
    <t>Andrew Omobamidele</t>
  </si>
  <si>
    <t>Frank Onyeka</t>
  </si>
  <si>
    <t>Emerson Palmieri</t>
  </si>
  <si>
    <t>Thomas Partey</t>
  </si>
  <si>
    <t>Ricardo Pereira</t>
  </si>
  <si>
    <t>Romain Perraud</t>
  </si>
  <si>
    <t>Kalvin Phillips</t>
  </si>
  <si>
    <t>Erik Pieters</t>
  </si>
  <si>
    <t>Ethan Pinnock</t>
  </si>
  <si>
    <t>JAM</t>
  </si>
  <si>
    <t>Isaac Price</t>
  </si>
  <si>
    <t>Jacob Ramsey</t>
  </si>
  <si>
    <t>Sergio Reguilón</t>
  </si>
  <si>
    <t>Declan Rice</t>
  </si>
  <si>
    <t>Jaïro Riedewald</t>
  </si>
  <si>
    <t>Matt Ritchie</t>
  </si>
  <si>
    <t>Connor Roberts</t>
  </si>
  <si>
    <t>Andrew Robertson</t>
  </si>
  <si>
    <t>Joe Rodon</t>
  </si>
  <si>
    <t>Rodri</t>
  </si>
  <si>
    <t>Mads Roerslev</t>
  </si>
  <si>
    <t>Cristian Romero</t>
  </si>
  <si>
    <t>Oriol Romeu</t>
  </si>
  <si>
    <t>Danny Rose</t>
  </si>
  <si>
    <t>Antonio Rüdiger</t>
  </si>
  <si>
    <t>Lukas Rupp</t>
  </si>
  <si>
    <t>Romain Saïss</t>
  </si>
  <si>
    <t>Mohammed Salisu</t>
  </si>
  <si>
    <t>Albert Sambi Lokonga</t>
  </si>
  <si>
    <t>Davinson Sánchez</t>
  </si>
  <si>
    <t>Morgan Sanson</t>
  </si>
  <si>
    <t>Samir Santos</t>
  </si>
  <si>
    <t>Malang Sarr</t>
  </si>
  <si>
    <t>Dane Scarlett</t>
  </si>
  <si>
    <t>Fabian Schär</t>
  </si>
  <si>
    <t>SUI</t>
  </si>
  <si>
    <t>Nélson Semedo</t>
  </si>
  <si>
    <t>Ryan Sessegnon</t>
  </si>
  <si>
    <t>Jamie Shackleton</t>
  </si>
  <si>
    <t>Luke Shaw</t>
  </si>
  <si>
    <t>Jonjo Shelvey</t>
  </si>
  <si>
    <t>Francisco Sierralta</t>
  </si>
  <si>
    <t>CHI</t>
  </si>
  <si>
    <t>Thiago Silva</t>
  </si>
  <si>
    <t>Moussa Sissoko</t>
  </si>
  <si>
    <t>Oliver Skipp</t>
  </si>
  <si>
    <t>Cédric Soares</t>
  </si>
  <si>
    <t>Jakob Sørensen</t>
  </si>
  <si>
    <t>Tomáš Souček</t>
  </si>
  <si>
    <t>Boubakary Soumaré</t>
  </si>
  <si>
    <t>Çağlar Söyüncü</t>
  </si>
  <si>
    <t>Dale Stephens</t>
  </si>
  <si>
    <t>Jack Stephens</t>
  </si>
  <si>
    <t>Finley Stevens</t>
  </si>
  <si>
    <t>John Stones</t>
  </si>
  <si>
    <t>Pascal Struijk</t>
  </si>
  <si>
    <t>Japhet Tanganga</t>
  </si>
  <si>
    <t>Matt Targett</t>
  </si>
  <si>
    <t>James Tarkowski</t>
  </si>
  <si>
    <t>Nuno Tavares</t>
  </si>
  <si>
    <t>Charlie Taylor</t>
  </si>
  <si>
    <t>Alex Telles</t>
  </si>
  <si>
    <t>Luke Thomas</t>
  </si>
  <si>
    <t>Dominic Thompson</t>
  </si>
  <si>
    <t>Youri Tielemans</t>
  </si>
  <si>
    <t>Kieran Tierney</t>
  </si>
  <si>
    <t>Takehiro Tomiyasu</t>
  </si>
  <si>
    <t>JPN</t>
  </si>
  <si>
    <t>James Tomkins</t>
  </si>
  <si>
    <t>Andros Townsend</t>
  </si>
  <si>
    <t>Kieran Trippier</t>
  </si>
  <si>
    <t>William Troost-Ekong</t>
  </si>
  <si>
    <t>Kostas Tsimikas</t>
  </si>
  <si>
    <t>Axel Tuanzebe</t>
  </si>
  <si>
    <t>Ozan Tufan</t>
  </si>
  <si>
    <t>Yan Valery</t>
  </si>
  <si>
    <t>Virgil van Dijk</t>
  </si>
  <si>
    <t>Raphaël Varane</t>
  </si>
  <si>
    <t>Joël Veltman</t>
  </si>
  <si>
    <t>Jannik Vestergaard</t>
  </si>
  <si>
    <t>Kyle Walker</t>
  </si>
  <si>
    <t>Kyle Walker-Peters</t>
  </si>
  <si>
    <t>Aaron Wan-Bissaka</t>
  </si>
  <si>
    <t>Joel Ward</t>
  </si>
  <si>
    <t>James Ward-Prowse</t>
  </si>
  <si>
    <t>Adam Webster</t>
  </si>
  <si>
    <t>Ashley Westwood</t>
  </si>
  <si>
    <t>Ben White</t>
  </si>
  <si>
    <t>Brandon Williams</t>
  </si>
  <si>
    <t>Neco Williams</t>
  </si>
  <si>
    <t>Joe Willock</t>
  </si>
  <si>
    <t>Harry Winks</t>
  </si>
  <si>
    <t>Granit Xhaka</t>
  </si>
  <si>
    <t>Ashley Young</t>
  </si>
  <si>
    <t>Christoph Zimmermann</t>
  </si>
  <si>
    <t>Oleksandr Zinchenko</t>
  </si>
  <si>
    <t>Kurt Zouma</t>
  </si>
  <si>
    <t>Average</t>
  </si>
  <si>
    <t>Passes</t>
  </si>
  <si>
    <t>Pass_perc</t>
  </si>
  <si>
    <t>Key_pass</t>
  </si>
  <si>
    <t>Combo_Rating</t>
  </si>
  <si>
    <t>Key_pass_Rating</t>
  </si>
  <si>
    <t>Overall_rating</t>
  </si>
  <si>
    <t>MFFW</t>
  </si>
  <si>
    <t>Miguel Almirón</t>
  </si>
  <si>
    <t>PAR</t>
  </si>
  <si>
    <t>Cameron Archer</t>
  </si>
  <si>
    <t>Leon Bailey</t>
  </si>
  <si>
    <t>FWMF</t>
  </si>
  <si>
    <t>Harvey Barnes</t>
  </si>
  <si>
    <t>Saïd Benrahma</t>
  </si>
  <si>
    <t>ALG</t>
  </si>
  <si>
    <t>Steven Bergwijn</t>
  </si>
  <si>
    <t>Bryan</t>
  </si>
  <si>
    <t>Emi Buendía</t>
  </si>
  <si>
    <t>Todd Cantwell</t>
  </si>
  <si>
    <t>Carney Chukwuemeka</t>
  </si>
  <si>
    <t>Maxwel Cornet</t>
  </si>
  <si>
    <t>Philippe Coutinho</t>
  </si>
  <si>
    <t>Cucho</t>
  </si>
  <si>
    <t>Josh Dasilva</t>
  </si>
  <si>
    <t>Emmanuel Dennis</t>
  </si>
  <si>
    <t>Lewis Dobbin</t>
  </si>
  <si>
    <t>Kieran Dowell</t>
  </si>
  <si>
    <t>Mohamed Elyounoussi</t>
  </si>
  <si>
    <t>Eberechi Eze</t>
  </si>
  <si>
    <t>Pablo Fornals</t>
  </si>
  <si>
    <t>Marcus Forss</t>
  </si>
  <si>
    <t>FIN</t>
  </si>
  <si>
    <t>Ryan Fraser</t>
  </si>
  <si>
    <t>Joe Gelhardt</t>
  </si>
  <si>
    <t>Anwar El Ghazi</t>
  </si>
  <si>
    <t>Morgan Gibbs-White</t>
  </si>
  <si>
    <t>Anthony Gordon</t>
  </si>
  <si>
    <t>Demarai Gray</t>
  </si>
  <si>
    <t>Mason Greenwood</t>
  </si>
  <si>
    <t>Sam Greenwood</t>
  </si>
  <si>
    <t>Jack Harrison</t>
  </si>
  <si>
    <t>Kai Havertz</t>
  </si>
  <si>
    <t>Hwang Hee-chan</t>
  </si>
  <si>
    <t>KOR</t>
  </si>
  <si>
    <t>Son Heung-min</t>
  </si>
  <si>
    <t>Callum Hudson-Odoi</t>
  </si>
  <si>
    <t>Adam Idah</t>
  </si>
  <si>
    <t>Daniel James</t>
  </si>
  <si>
    <t>João Pedro</t>
  </si>
  <si>
    <t>Joelinton</t>
  </si>
  <si>
    <t>Dejan Kulusevski</t>
  </si>
  <si>
    <t>Alexandre Lacazette</t>
  </si>
  <si>
    <t>Manuel Lanzini</t>
  </si>
  <si>
    <t>Jesse Lingard</t>
  </si>
  <si>
    <t>Giovani Lo Celso</t>
  </si>
  <si>
    <t>Ademola Lookman</t>
  </si>
  <si>
    <t>Alexis Mac Allister</t>
  </si>
  <si>
    <t>James Maddison</t>
  </si>
  <si>
    <t>Martinelli</t>
  </si>
  <si>
    <t>James Mcatee</t>
  </si>
  <si>
    <t>Takumi Minamino</t>
  </si>
  <si>
    <t>Jakub Moder</t>
  </si>
  <si>
    <t>Mason Mount</t>
  </si>
  <si>
    <t>Lucas Moura</t>
  </si>
  <si>
    <t>Enock Mwepu</t>
  </si>
  <si>
    <t>ZAM</t>
  </si>
  <si>
    <t>Pedro Neto</t>
  </si>
  <si>
    <t>Michael Olise</t>
  </si>
  <si>
    <t>Tyler Onyango</t>
  </si>
  <si>
    <t>Alex Oxlade-Chamberlain</t>
  </si>
  <si>
    <t>Cole Palmer</t>
  </si>
  <si>
    <t>Nicolas Pépé</t>
  </si>
  <si>
    <t>Ayoze Pérez</t>
  </si>
  <si>
    <t>Przemysław Płacheta</t>
  </si>
  <si>
    <t>Daniel Podence</t>
  </si>
  <si>
    <t>Paul Pogba</t>
  </si>
  <si>
    <t>Christian Pulisic</t>
  </si>
  <si>
    <t>Jesuran Rak Sakyi</t>
  </si>
  <si>
    <t>Raphinha</t>
  </si>
  <si>
    <t>Marcus Rashford</t>
  </si>
  <si>
    <t>Milot Rashica</t>
  </si>
  <si>
    <t>KVX</t>
  </si>
  <si>
    <t>Nathan Redmond</t>
  </si>
  <si>
    <t>Taylor Richards</t>
  </si>
  <si>
    <t>Richarlison</t>
  </si>
  <si>
    <t>Tyler Roberts</t>
  </si>
  <si>
    <t>Rodrigo</t>
  </si>
  <si>
    <t>Jon Rowe</t>
  </si>
  <si>
    <t>Allan Saint-Maximin</t>
  </si>
  <si>
    <t>Bukayo Saka</t>
  </si>
  <si>
    <t>Jadon Sancho</t>
  </si>
  <si>
    <t>Josh Sargent</t>
  </si>
  <si>
    <t>Jeremy Sarmiento</t>
  </si>
  <si>
    <t>Ismaila Sarr</t>
  </si>
  <si>
    <t>Jeffrey Schlupp</t>
  </si>
  <si>
    <t>Ken Sema</t>
  </si>
  <si>
    <t>Bernardo Silva</t>
  </si>
  <si>
    <t>William Smallbone</t>
  </si>
  <si>
    <t>Emile Smith Rowe</t>
  </si>
  <si>
    <t>Tony Springett</t>
  </si>
  <si>
    <t>Crysencio Summerville</t>
  </si>
  <si>
    <t>Nathan Tella</t>
  </si>
  <si>
    <t>Bertrand Traoré</t>
  </si>
  <si>
    <t>BFA</t>
  </si>
  <si>
    <t>Francisco Trincão</t>
  </si>
  <si>
    <t>Leandro Trossard</t>
  </si>
  <si>
    <t>Christos Tzolis</t>
  </si>
  <si>
    <t>Nikola Vlašić</t>
  </si>
  <si>
    <t>Theo Walcott</t>
  </si>
  <si>
    <t>Timo Werner</t>
  </si>
  <si>
    <t>Yoane Wissa</t>
  </si>
  <si>
    <t>Hakim Ziyech</t>
  </si>
  <si>
    <t>Shots</t>
  </si>
  <si>
    <t>Succ_Shot_perc</t>
  </si>
  <si>
    <t>Shot_create</t>
  </si>
  <si>
    <t>Goal_create</t>
  </si>
  <si>
    <t>Shot_Rating</t>
  </si>
  <si>
    <t>Goal_Rating</t>
  </si>
  <si>
    <t>Che Adams</t>
  </si>
  <si>
    <t>FW</t>
  </si>
  <si>
    <t>Michail Antonio</t>
  </si>
  <si>
    <t>Adam Armstrong</t>
  </si>
  <si>
    <t>Pierre-Emerick Aubameyang</t>
  </si>
  <si>
    <t>GAB</t>
  </si>
  <si>
    <t>Jordan Ayew</t>
  </si>
  <si>
    <t>Folarin Balogun</t>
  </si>
  <si>
    <t>Patrick Bamford</t>
  </si>
  <si>
    <t>Ashley Barnes</t>
  </si>
  <si>
    <t>Christian Benteke</t>
  </si>
  <si>
    <t>Jarrod Bowen</t>
  </si>
  <si>
    <t>Armando Broja</t>
  </si>
  <si>
    <t>ALB</t>
  </si>
  <si>
    <t>Dominic Calvert-Lewin</t>
  </si>
  <si>
    <t>Edinson Cavani</t>
  </si>
  <si>
    <t>Kayky Chagas</t>
  </si>
  <si>
    <t>Aaron Connolly</t>
  </si>
  <si>
    <t>Patson Daka</t>
  </si>
  <si>
    <t>Keinan Davis</t>
  </si>
  <si>
    <t>Troy Deeney</t>
  </si>
  <si>
    <t>Liam Delap</t>
  </si>
  <si>
    <t>Luis Díaz</t>
  </si>
  <si>
    <t>Odsonne Édouard</t>
  </si>
  <si>
    <t>Anthony Elanga</t>
  </si>
  <si>
    <t>Roberto Firmino</t>
  </si>
  <si>
    <t>Ashley Fletcher</t>
  </si>
  <si>
    <t>Phil Foden</t>
  </si>
  <si>
    <t>Alejandro Garnacho</t>
  </si>
  <si>
    <t>Dwight Gayle</t>
  </si>
  <si>
    <t>Kaide Gordon</t>
  </si>
  <si>
    <t>Jack Grealish</t>
  </si>
  <si>
    <t>Kelechi Iheanacho</t>
  </si>
  <si>
    <t>Danny Ings</t>
  </si>
  <si>
    <t>Gabriel Jesus</t>
  </si>
  <si>
    <t>Raúl Jiménez</t>
  </si>
  <si>
    <t>MEX</t>
  </si>
  <si>
    <t>Diogo Jota</t>
  </si>
  <si>
    <t>Samuel Kalu</t>
  </si>
  <si>
    <t>Harry Kane</t>
  </si>
  <si>
    <t>Moise Kean</t>
  </si>
  <si>
    <t>Joshua King</t>
  </si>
  <si>
    <t>Jürgen Locadia</t>
  </si>
  <si>
    <t>Shane Long</t>
  </si>
  <si>
    <t>Romelu Lukaku</t>
  </si>
  <si>
    <t>Riyad Mahrez</t>
  </si>
  <si>
    <t>Sadio Mané</t>
  </si>
  <si>
    <t>Anthony Martial</t>
  </si>
  <si>
    <t>Jean-Philippe Mateta</t>
  </si>
  <si>
    <t>Neal Maupay</t>
  </si>
  <si>
    <t>Bryan Mbeumo</t>
  </si>
  <si>
    <t>Kasey McAteer</t>
  </si>
  <si>
    <t>Liam McCarron</t>
  </si>
  <si>
    <t>Hannibal Mejbri</t>
  </si>
  <si>
    <t>TUN</t>
  </si>
  <si>
    <t>Wesley Moraes</t>
  </si>
  <si>
    <t>Reiss Nelson</t>
  </si>
  <si>
    <t>Eddie Nketiah</t>
  </si>
  <si>
    <t>Divock Origi</t>
  </si>
  <si>
    <t>Sonny Perkins</t>
  </si>
  <si>
    <t>Jaden Philogene Bidace</t>
  </si>
  <si>
    <t>Teemu Pukki</t>
  </si>
  <si>
    <t>Jay Rodriguez</t>
  </si>
  <si>
    <t>Cristiano Ronaldo</t>
  </si>
  <si>
    <t>Salomón Rondón</t>
  </si>
  <si>
    <t>VEN</t>
  </si>
  <si>
    <t>Mohamed Salah</t>
  </si>
  <si>
    <t>Shola Shoretire</t>
  </si>
  <si>
    <t>Fábio Silva</t>
  </si>
  <si>
    <t>Ellis Simms</t>
  </si>
  <si>
    <t>Raheem Sterling</t>
  </si>
  <si>
    <t>Ivan Toney</t>
  </si>
  <si>
    <t>Ferrán Torres</t>
  </si>
  <si>
    <t>Cenk Tosun</t>
  </si>
  <si>
    <t>Adama Traoré</t>
  </si>
  <si>
    <t>Trézéguet</t>
  </si>
  <si>
    <t>Jamie Vardy</t>
  </si>
  <si>
    <t>Matěj Vydra</t>
  </si>
  <si>
    <t>Ollie Watkins</t>
  </si>
  <si>
    <t>Wout Weghorst</t>
  </si>
  <si>
    <t>Danny Welbeck</t>
  </si>
  <si>
    <t>Callum Wilson</t>
  </si>
  <si>
    <t>Chris Wood</t>
  </si>
  <si>
    <t>NZL</t>
  </si>
  <si>
    <t>Andriy Yarmolenko</t>
  </si>
  <si>
    <t>Nathan Young-Coombes</t>
  </si>
  <si>
    <t>Wilfried Zaha</t>
  </si>
  <si>
    <t>Subs_Point</t>
  </si>
  <si>
    <t>Percentile</t>
  </si>
  <si>
    <t>Points</t>
  </si>
  <si>
    <t>Tammy Abraham</t>
  </si>
  <si>
    <t>Omotayo Adaramola</t>
  </si>
  <si>
    <t>Adrián</t>
  </si>
  <si>
    <t>GK</t>
  </si>
  <si>
    <t>Range</t>
  </si>
  <si>
    <t>0-20%</t>
  </si>
  <si>
    <t>Ryan Alebiousu</t>
  </si>
  <si>
    <t>20%-40%</t>
  </si>
  <si>
    <t>Ajibola Alese</t>
  </si>
  <si>
    <t>40%-60%</t>
  </si>
  <si>
    <t>60%-80%</t>
  </si>
  <si>
    <t>80%-100%</t>
  </si>
  <si>
    <t>Elliot Anderson</t>
  </si>
  <si>
    <t>Florin Andone</t>
  </si>
  <si>
    <t>ROU</t>
  </si>
  <si>
    <t>Vincent Angelini</t>
  </si>
  <si>
    <t>Brandon Austin</t>
  </si>
  <si>
    <t>Zach Awe</t>
  </si>
  <si>
    <t>Miguel Azeez</t>
  </si>
  <si>
    <t>Kwadwo Baah</t>
  </si>
  <si>
    <t>Scott Banks</t>
  </si>
  <si>
    <t>Jamal Baptiste</t>
  </si>
  <si>
    <t>Phil Bardsley</t>
  </si>
  <si>
    <t>Owen Beck</t>
  </si>
  <si>
    <t>Héctor Bellerín</t>
  </si>
  <si>
    <t>Marcus Bettinelli</t>
  </si>
  <si>
    <t>Mika Biereth</t>
  </si>
  <si>
    <t>Adrian Blake</t>
  </si>
  <si>
    <t>Lamare Bogarde</t>
  </si>
  <si>
    <t>Jamie Bowden</t>
  </si>
  <si>
    <t>Conor Bradley</t>
  </si>
  <si>
    <t>Nathan Broadhead</t>
  </si>
  <si>
    <t>Hugo Bueno</t>
  </si>
  <si>
    <t>Scott Carson</t>
  </si>
  <si>
    <t>Kgagelo Chauke</t>
  </si>
  <si>
    <t>Benjamin Chrisene</t>
  </si>
  <si>
    <t>Kamil Conteh</t>
  </si>
  <si>
    <t>SLE</t>
  </si>
  <si>
    <t>Dara Costelloe</t>
  </si>
  <si>
    <t>Conor Coventry</t>
  </si>
  <si>
    <t>Matthew Cox</t>
  </si>
  <si>
    <t>Matthew Craig</t>
  </si>
  <si>
    <t>Tiago Çukur</t>
  </si>
  <si>
    <t>Vontae Daley Campbell</t>
  </si>
  <si>
    <t>Lucas De Bolle</t>
  </si>
  <si>
    <t>Halil Dervişoğlu</t>
  </si>
  <si>
    <t>Alfie Devine</t>
  </si>
  <si>
    <t>Amad Diallo</t>
  </si>
  <si>
    <t>Tyler Dibling</t>
  </si>
  <si>
    <t>Thomas Dickson-Peters</t>
  </si>
  <si>
    <t>Owen Dodgson</t>
  </si>
  <si>
    <t>Thomas Doyle</t>
  </si>
  <si>
    <t>Samuel Edozie</t>
  </si>
  <si>
    <t>Pierre Ekwah Elimby</t>
  </si>
  <si>
    <t>Rob Elliot</t>
  </si>
  <si>
    <t>Josh Feeney</t>
  </si>
  <si>
    <t>Marcelo Flores</t>
  </si>
  <si>
    <t>Shaqai Forde</t>
  </si>
  <si>
    <t>Liam Gibbs</t>
  </si>
  <si>
    <t>Mark Gillespie</t>
  </si>
  <si>
    <t>Pierluigi Gollini</t>
  </si>
  <si>
    <t>Anthony Gomez Mancini</t>
  </si>
  <si>
    <t>Archie Gray</t>
  </si>
  <si>
    <t>Jack Grieves</t>
  </si>
  <si>
    <t>Frederic Guilbert</t>
  </si>
  <si>
    <t>Patrik Gunnarsson</t>
  </si>
  <si>
    <t>Lewis Hall</t>
  </si>
  <si>
    <t>Reece Hannam</t>
  </si>
  <si>
    <t>Maxwell Haygarth</t>
  </si>
  <si>
    <t>Tom Heaton</t>
  </si>
  <si>
    <t>Dean Henderson</t>
  </si>
  <si>
    <t>Conor Hourihane</t>
  </si>
  <si>
    <t>Omari Hutchinson</t>
  </si>
  <si>
    <t>Karl Jakob Hein</t>
  </si>
  <si>
    <t>EST</t>
  </si>
  <si>
    <t>Eldin Jakupović</t>
  </si>
  <si>
    <t>Julian Jeanvier</t>
  </si>
  <si>
    <t>Jack Jenkins</t>
  </si>
  <si>
    <t>Ryan John Giles</t>
  </si>
  <si>
    <t>Bruno Jordão</t>
  </si>
  <si>
    <t>Abu Kamara</t>
  </si>
  <si>
    <t>Michał Karbownik</t>
  </si>
  <si>
    <t>Martin Kelly</t>
  </si>
  <si>
    <t>Nohan Kenneh</t>
  </si>
  <si>
    <t>Kaine Kessler</t>
  </si>
  <si>
    <t>Alex Kirk</t>
  </si>
  <si>
    <t>Roméo Lavia</t>
  </si>
  <si>
    <t>Marcel Lavinier</t>
  </si>
  <si>
    <t>Marc Leonard</t>
  </si>
  <si>
    <t>Harry Lewis</t>
  </si>
  <si>
    <t>Andy Lonergan</t>
  </si>
  <si>
    <t>Edmond-Paris Maghoma</t>
  </si>
  <si>
    <t>Dilan Markanday</t>
  </si>
  <si>
    <t>Christian Marques</t>
  </si>
  <si>
    <t>Filip Marshall</t>
  </si>
  <si>
    <t>Remi Matthews</t>
  </si>
  <si>
    <t>Luke Mbete-Tatu</t>
  </si>
  <si>
    <t>Jon McCracken</t>
  </si>
  <si>
    <t>Thomas Mcgill</t>
  </si>
  <si>
    <t>Joseph McGlynn</t>
  </si>
  <si>
    <t>Michael McGovern</t>
  </si>
  <si>
    <t>Kris Moore</t>
  </si>
  <si>
    <t>James Morris</t>
  </si>
  <si>
    <t>Yerson Mosquera</t>
  </si>
  <si>
    <t>Louie Moulden</t>
  </si>
  <si>
    <t>Benjamin Nelson</t>
  </si>
  <si>
    <t>Niels Nkounkou</t>
  </si>
  <si>
    <t>Will Norris</t>
  </si>
  <si>
    <t>Tommi O'Reilly</t>
  </si>
  <si>
    <t>Odeluga Offiah</t>
  </si>
  <si>
    <t>Mazeed Ogungbo</t>
  </si>
  <si>
    <t>Armstrong Okoflex</t>
  </si>
  <si>
    <t>Arthur Okonkwo</t>
  </si>
  <si>
    <t>Tobi Omole</t>
  </si>
  <si>
    <t>Salah Oulad M'Hand</t>
  </si>
  <si>
    <t>Charlie Patino</t>
  </si>
  <si>
    <t>Nathan Patterson</t>
  </si>
  <si>
    <t>Myles Peart-Harris</t>
  </si>
  <si>
    <t>Andreas Pereira</t>
  </si>
  <si>
    <t>Nathaniel Phillips</t>
  </si>
  <si>
    <t>Marcelo Pitaluga</t>
  </si>
  <si>
    <t>Dennis Praet</t>
  </si>
  <si>
    <t>Jarrell Quansah</t>
  </si>
  <si>
    <t>Aaron Ramsey</t>
  </si>
  <si>
    <t>Darren Randolph</t>
  </si>
  <si>
    <t>Lewis Richardson</t>
  </si>
  <si>
    <t>Haydon Roberts</t>
  </si>
  <si>
    <t>Dion Sanderson</t>
  </si>
  <si>
    <t>Charlie Savage</t>
  </si>
  <si>
    <t>Kjell Scherpen</t>
  </si>
  <si>
    <t>Dynel Simeu</t>
  </si>
  <si>
    <t>Viljami Sinisalo</t>
  </si>
  <si>
    <t>Cieran Slicker</t>
  </si>
  <si>
    <t>Thierry Small</t>
  </si>
  <si>
    <t>James Storer</t>
  </si>
  <si>
    <t>Robert Street</t>
  </si>
  <si>
    <t>Zak Swanson</t>
  </si>
  <si>
    <t>Bobby Thomas</t>
  </si>
  <si>
    <t>Jonathan Tomkinson</t>
  </si>
  <si>
    <t>Ed Turns</t>
  </si>
  <si>
    <t>Harry Tyrer</t>
  </si>
  <si>
    <t>Harvey Vale</t>
  </si>
  <si>
    <t>Sam Waller</t>
  </si>
  <si>
    <t>Reece Welch</t>
  </si>
  <si>
    <t>Charlie Whitaker</t>
  </si>
  <si>
    <t>Harvey White</t>
  </si>
  <si>
    <t>Joe White</t>
  </si>
  <si>
    <t>Rhys Williams</t>
  </si>
  <si>
    <t>Josh Wilson-Esbrand</t>
  </si>
  <si>
    <t>Ben Woodburn</t>
  </si>
  <si>
    <t>Andi Zeqiri</t>
  </si>
  <si>
    <t>Year_Wage</t>
  </si>
  <si>
    <t>Wage_Level</t>
  </si>
  <si>
    <t>Amount</t>
  </si>
  <si>
    <t>Wage Level</t>
  </si>
  <si>
    <t>0-60%</t>
  </si>
  <si>
    <t>Low</t>
  </si>
  <si>
    <t>60%-90%</t>
  </si>
  <si>
    <t>Medium</t>
  </si>
  <si>
    <t>90%-100%</t>
  </si>
  <si>
    <t>High</t>
  </si>
  <si>
    <t>Gylfi Sigurðsson</t>
  </si>
  <si>
    <t>Winston Reid</t>
  </si>
  <si>
    <t>Lewis Baker</t>
  </si>
  <si>
    <t>Charly Musonda Jr.</t>
  </si>
  <si>
    <t>Oskar Buur</t>
  </si>
  <si>
    <t>Tudor Băluță</t>
  </si>
  <si>
    <t>Jack Clarke</t>
  </si>
  <si>
    <t>Lee Grant</t>
  </si>
  <si>
    <t>Filip Benković</t>
  </si>
  <si>
    <t>Loris Karius</t>
  </si>
  <si>
    <t>Tahith Chong</t>
  </si>
  <si>
    <t>Marc Navarro</t>
  </si>
  <si>
    <t>Jarosław Jach</t>
  </si>
  <si>
    <t>Joel Valencia</t>
  </si>
  <si>
    <t>Kayky</t>
  </si>
  <si>
    <t>Matija Šarkić</t>
  </si>
  <si>
    <t>MNE</t>
  </si>
  <si>
    <t>Sam McQueen</t>
  </si>
  <si>
    <t>David Martin</t>
  </si>
  <si>
    <t>Rocky Bushiri</t>
  </si>
  <si>
    <t>Luka Racic</t>
  </si>
  <si>
    <t>Billy Arce</t>
  </si>
  <si>
    <t>Ellery Balcombe</t>
  </si>
  <si>
    <t>Jan Žambůrek</t>
  </si>
  <si>
    <t>Santiago Muñóz</t>
  </si>
  <si>
    <t>Yaser Asprilla</t>
  </si>
  <si>
    <t>Flynn Clarke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</si>
</sst>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&quot;$&quot;#,##0"/>
    <numFmt numFmtId="165" formatCode="&quot;$&quot;#,##0.00"/>
  </numFmts>
  <fonts count="8" x14ac:knownFonts="1">
    <font>
      <sz val="12"/>
      <color theme="1"/>
      <name val="Calibri"/>
      <family val="2"/>
      <scheme val="minor"/>
    </font>
    <font>
      <sz val="10"/>
      <color rgb="FF000000"/>
      <name val="Calibri"/>
      <family val="2"/>
      <scheme val="minor"/>
    </font>
    <font>
      <b/>
      <sz val="14"/>
      <color rgb="FF000000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4"/>
      <color rgb="FF000000"/>
      <name val="Calibri"/>
      <family val="2"/>
      <scheme val="minor"/>
    </font>
    <font>
      <sz val="14"/>
      <color theme="1"/>
      <name val="Calibri"/>
      <family val="2"/>
      <scheme val="minor"/>
    </font>
    <font>
      <sz val="14"/>
      <color rgb="FF202124"/>
      <name val="Roboto"/>
    </font>
    <font>
      <sz val="11"/>
      <color rgb="FF000000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6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FFFFF"/>
        <bgColor rgb="FFFFFFFF"/>
      </patternFill>
    </fill>
  </fills>
  <borders count="4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medium">
        <color rgb="FF000000"/>
      </bottom>
      <diagonal/>
    </border>
  </borders>
  <cellStyleXfs count="2">
    <xf numFmtId="0" fontId="0" fillId="0" borderId="0"/>
    <xf numFmtId="0" fontId="1" fillId="0" borderId="0"/>
  </cellStyleXfs>
  <cellXfs count="32">
    <xf numFmtId="0" fontId="0" fillId="0" borderId="0" xfId="0"/>
    <xf numFmtId="0" fontId="2" fillId="0" borderId="0" xfId="1" applyFont="1"/>
    <xf numFmtId="0" fontId="2" fillId="0" borderId="0" xfId="1" applyFont="1" applyAlignment="1">
      <alignment horizontal="right"/>
    </xf>
    <xf numFmtId="0" fontId="3" fillId="0" borderId="0" xfId="1" applyFont="1"/>
    <xf numFmtId="0" fontId="4" fillId="0" borderId="0" xfId="1" applyFont="1"/>
    <xf numFmtId="10" fontId="4" fillId="0" borderId="0" xfId="1" applyNumberFormat="1" applyFont="1" applyAlignment="1">
      <alignment horizontal="right"/>
    </xf>
    <xf numFmtId="0" fontId="5" fillId="0" borderId="0" xfId="1" applyFont="1"/>
    <xf numFmtId="9" fontId="4" fillId="0" borderId="0" xfId="1" applyNumberFormat="1" applyFont="1" applyAlignment="1">
      <alignment horizontal="right"/>
    </xf>
    <xf numFmtId="0" fontId="5" fillId="0" borderId="0" xfId="1" applyFont="1" applyAlignment="1">
      <alignment horizontal="right"/>
    </xf>
    <xf numFmtId="0" fontId="3" fillId="2" borderId="2" xfId="1" applyFont="1" applyFill="1" applyBorder="1"/>
    <xf numFmtId="0" fontId="5" fillId="2" borderId="2" xfId="1" applyFont="1" applyFill="1" applyBorder="1"/>
    <xf numFmtId="0" fontId="4" fillId="0" borderId="0" xfId="1" applyFont="1" applyAlignment="1">
      <alignment horizontal="right"/>
    </xf>
    <xf numFmtId="0" fontId="3" fillId="3" borderId="3" xfId="1" applyFont="1" applyFill="1" applyBorder="1"/>
    <xf numFmtId="0" fontId="5" fillId="3" borderId="3" xfId="1" applyFont="1" applyFill="1" applyBorder="1"/>
    <xf numFmtId="10" fontId="5" fillId="3" borderId="3" xfId="1" applyNumberFormat="1" applyFont="1" applyFill="1" applyBorder="1" applyAlignment="1">
      <alignment horizontal="right"/>
    </xf>
    <xf numFmtId="0" fontId="1" fillId="0" borderId="0" xfId="1"/>
    <xf numFmtId="10" fontId="5" fillId="3" borderId="3" xfId="1" applyNumberFormat="1" applyFont="1" applyFill="1" applyBorder="1"/>
    <xf numFmtId="0" fontId="2" fillId="2" borderId="2" xfId="1" applyFont="1" applyFill="1" applyBorder="1"/>
    <xf numFmtId="0" fontId="4" fillId="2" borderId="2" xfId="1" applyFont="1" applyFill="1" applyBorder="1"/>
    <xf numFmtId="0" fontId="6" fillId="4" borderId="0" xfId="1" applyFont="1" applyFill="1" applyAlignment="1">
      <alignment horizontal="left"/>
    </xf>
    <xf numFmtId="0" fontId="3" fillId="3" borderId="2" xfId="1" applyFont="1" applyFill="1" applyBorder="1"/>
    <xf numFmtId="0" fontId="5" fillId="3" borderId="2" xfId="1" applyFont="1" applyFill="1" applyBorder="1"/>
    <xf numFmtId="10" fontId="5" fillId="3" borderId="2" xfId="1" applyNumberFormat="1" applyFont="1" applyFill="1" applyBorder="1"/>
    <xf numFmtId="0" fontId="7" fillId="2" borderId="2" xfId="1" applyFont="1" applyFill="1" applyBorder="1"/>
    <xf numFmtId="9" fontId="5" fillId="0" borderId="0" xfId="1" applyNumberFormat="1" applyFont="1"/>
    <xf numFmtId="9" fontId="5" fillId="2" borderId="2" xfId="1" applyNumberFormat="1" applyFont="1" applyFill="1" applyBorder="1"/>
    <xf numFmtId="164" fontId="4" fillId="0" borderId="0" xfId="1" applyNumberFormat="1" applyFont="1"/>
    <xf numFmtId="165" fontId="5" fillId="2" borderId="2" xfId="1" applyNumberFormat="1" applyFont="1" applyFill="1" applyBorder="1"/>
    <xf numFmtId="165" fontId="5" fillId="0" borderId="0" xfId="1" applyNumberFormat="1" applyFont="1"/>
    <xf numFmtId="0" fontId="3" fillId="3" borderId="1" xfId="1" applyFont="1" applyFill="1" applyBorder="1"/>
    <xf numFmtId="0" fontId="5" fillId="3" borderId="1" xfId="1" applyFont="1" applyFill="1" applyBorder="1"/>
    <xf numFmtId="10" fontId="5" fillId="3" borderId="1" xfId="1" applyNumberFormat="1" applyFont="1" applyFill="1" applyBorder="1" applyAlignment="1">
      <alignment horizontal="right"/>
    </xf>
  </cellXfs>
  <cellStyles count="2">
    <cellStyle name="Normal" xfId="0" builtinId="0"/>
    <cellStyle name="Normal 2" xfId="1" xr:uid="{7BED5A8B-0C24-8248-AC76-C4635924C2D1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32B920-C622-A04E-803D-4F79B7A43041}">
  <sheetPr codeName="Sheet1">
    <tabColor rgb="FFFF0000"/>
    <outlinePr summaryBelow="0" summaryRight="0"/>
  </sheetPr>
  <dimension ref="A1:W998"/>
  <sheetViews>
    <sheetView tabSelected="1" workbookViewId="0">
      <selection activeCell="D44" sqref="D44:H45"/>
    </sheetView>
  </sheetViews>
  <sheetFormatPr baseColWidth="10" defaultColWidth="12.6640625" defaultRowHeight="19" x14ac:dyDescent="0.25"/>
  <cols>
    <col min="1" max="1" width="21.83203125" style="4" bestFit="1" customWidth="1"/>
    <col min="2" max="2" width="8.6640625" style="4" bestFit="1" customWidth="1"/>
    <col min="3" max="3" width="18.5" style="4" bestFit="1" customWidth="1"/>
    <col min="4" max="4" width="9.5" style="4" bestFit="1" customWidth="1"/>
    <col min="5" max="7" width="15.83203125" style="4" bestFit="1" customWidth="1"/>
    <col min="8" max="8" width="13" style="4" bestFit="1" customWidth="1"/>
    <col min="9" max="9" width="14.1640625" style="4" bestFit="1" customWidth="1"/>
    <col min="10" max="10" width="17" style="4" bestFit="1" customWidth="1"/>
    <col min="11" max="11" width="16" style="4" bestFit="1" customWidth="1"/>
    <col min="12" max="12" width="18.1640625" style="4" bestFit="1" customWidth="1"/>
    <col min="13" max="13" width="10.5" style="4" bestFit="1" customWidth="1"/>
    <col min="14" max="16384" width="12.6640625" style="4"/>
  </cols>
  <sheetData>
    <row r="1" spans="1:23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2" t="s">
        <v>7</v>
      </c>
      <c r="I1" s="3" t="s">
        <v>8</v>
      </c>
      <c r="J1" s="3" t="s">
        <v>9</v>
      </c>
      <c r="K1" s="1" t="s">
        <v>10</v>
      </c>
      <c r="L1" s="3" t="s">
        <v>11</v>
      </c>
      <c r="M1" s="3" t="s">
        <v>12</v>
      </c>
      <c r="N1" s="3"/>
      <c r="O1" s="3"/>
      <c r="P1" s="3"/>
      <c r="Q1" s="3"/>
      <c r="R1" s="3"/>
      <c r="S1" s="3"/>
      <c r="T1" s="3"/>
      <c r="U1" s="3"/>
      <c r="V1" s="3"/>
      <c r="W1" s="3"/>
    </row>
    <row r="2" spans="1:23" x14ac:dyDescent="0.25">
      <c r="A2" s="4" t="s">
        <v>13</v>
      </c>
      <c r="B2" s="4" t="s">
        <v>14</v>
      </c>
      <c r="C2" s="4" t="s">
        <v>15</v>
      </c>
      <c r="D2" s="4">
        <v>28</v>
      </c>
      <c r="E2" s="4">
        <v>36</v>
      </c>
      <c r="F2" s="4">
        <v>3240</v>
      </c>
      <c r="G2" s="4">
        <v>73</v>
      </c>
      <c r="H2" s="5">
        <v>0.753</v>
      </c>
      <c r="I2" s="6">
        <f>IFERROR(_xlfn.IFS(F2&gt;=F$45,1,F2&gt;=F$44,0.5),0)</f>
        <v>1</v>
      </c>
      <c r="J2" s="6">
        <f>IFERROR(_xlfn.IFS(G2&gt;=G$45,1,G2&gt;=G$44,0.5),0)</f>
        <v>1</v>
      </c>
      <c r="K2" s="6">
        <f>IFERROR(_xlfn.IFS(H2&gt;=H$45,2,H2&gt;=H$44,1),0)</f>
        <v>2</v>
      </c>
      <c r="L2" s="6">
        <f>I2+J2+K2</f>
        <v>4</v>
      </c>
      <c r="M2" s="6" t="str">
        <f>_xlfn.IFS(L2=0,"☆",L2=0.5,"½", L2=1,"★",L2 =1.5,"★½", L2 =2.5,"★★½", L2=2,"★★", L2=3,"★★★", L2 =3.5,"★★★½",L2=4,"★★★★", L2 =4.5,"★★★★½", L2=5,"★★★★★")</f>
        <v>★★★★</v>
      </c>
    </row>
    <row r="3" spans="1:23" x14ac:dyDescent="0.25">
      <c r="A3" s="4" t="s">
        <v>16</v>
      </c>
      <c r="B3" s="4" t="s">
        <v>17</v>
      </c>
      <c r="C3" s="4" t="s">
        <v>18</v>
      </c>
      <c r="D3" s="4">
        <v>28</v>
      </c>
      <c r="E3" s="4">
        <v>1</v>
      </c>
      <c r="F3" s="4">
        <v>90</v>
      </c>
      <c r="G3" s="4">
        <v>2</v>
      </c>
      <c r="H3" s="5">
        <v>0.66700000000000004</v>
      </c>
      <c r="I3" s="6">
        <f t="shared" ref="I3:J43" si="0">IFERROR(_xlfn.IFS(F3&gt;=F$45,1,F3&gt;=F$44,0.5),0)</f>
        <v>0</v>
      </c>
      <c r="J3" s="6">
        <f t="shared" si="0"/>
        <v>0</v>
      </c>
      <c r="K3" s="6">
        <f t="shared" ref="K3:K43" si="1">IFERROR(_xlfn.IFS(H3&gt;=H$45,2,H3&gt;=H$44,1),0)</f>
        <v>2</v>
      </c>
      <c r="L3" s="6">
        <f t="shared" ref="L3:L43" si="2">I3+J3+K3</f>
        <v>2</v>
      </c>
      <c r="M3" s="6" t="str">
        <f t="shared" ref="M3:M43" si="3">_xlfn.IFS(L3=0,"☆",L3=0.5,"½", L3=1,"★",L3 =1.5,"★½", L3 =2.5,"★★½", L3=2,"★★", L3=3,"★★★", L3 =3.5,"★★★½",L3=4,"★★★★", L3 =4.5,"★★★★½", L3=5,"★★★★★")</f>
        <v>★★</v>
      </c>
    </row>
    <row r="4" spans="1:23" x14ac:dyDescent="0.25">
      <c r="A4" s="4" t="s">
        <v>19</v>
      </c>
      <c r="B4" s="4" t="s">
        <v>20</v>
      </c>
      <c r="C4" s="4" t="s">
        <v>21</v>
      </c>
      <c r="D4" s="4">
        <v>26</v>
      </c>
      <c r="E4" s="4">
        <v>4</v>
      </c>
      <c r="F4" s="4">
        <v>360</v>
      </c>
      <c r="G4" s="4">
        <v>11</v>
      </c>
      <c r="H4" s="5">
        <v>0.84599999999999997</v>
      </c>
      <c r="I4" s="6">
        <f t="shared" si="0"/>
        <v>0</v>
      </c>
      <c r="J4" s="6">
        <f t="shared" si="0"/>
        <v>0</v>
      </c>
      <c r="K4" s="6">
        <f t="shared" si="1"/>
        <v>2</v>
      </c>
      <c r="L4" s="6">
        <f t="shared" si="2"/>
        <v>2</v>
      </c>
      <c r="M4" s="6" t="str">
        <f t="shared" si="3"/>
        <v>★★</v>
      </c>
    </row>
    <row r="5" spans="1:23" x14ac:dyDescent="0.25">
      <c r="A5" s="4" t="s">
        <v>22</v>
      </c>
      <c r="B5" s="4" t="s">
        <v>23</v>
      </c>
      <c r="C5" s="4" t="s">
        <v>24</v>
      </c>
      <c r="D5" s="4">
        <v>27</v>
      </c>
      <c r="E5" s="4">
        <v>12</v>
      </c>
      <c r="F5" s="4">
        <v>1080</v>
      </c>
      <c r="G5" s="4">
        <v>45</v>
      </c>
      <c r="H5" s="5">
        <v>0.63800000000000001</v>
      </c>
      <c r="I5" s="6">
        <f t="shared" si="0"/>
        <v>0</v>
      </c>
      <c r="J5" s="6">
        <f t="shared" si="0"/>
        <v>0</v>
      </c>
      <c r="K5" s="6">
        <f t="shared" si="1"/>
        <v>0</v>
      </c>
      <c r="L5" s="6">
        <f t="shared" si="2"/>
        <v>0</v>
      </c>
      <c r="M5" s="6" t="str">
        <f t="shared" si="3"/>
        <v>☆</v>
      </c>
    </row>
    <row r="6" spans="1:23" x14ac:dyDescent="0.25">
      <c r="A6" s="4" t="s">
        <v>25</v>
      </c>
      <c r="B6" s="4" t="s">
        <v>26</v>
      </c>
      <c r="C6" s="4" t="s">
        <v>27</v>
      </c>
      <c r="D6" s="4">
        <v>34</v>
      </c>
      <c r="E6" s="4">
        <v>3</v>
      </c>
      <c r="F6" s="4">
        <v>270</v>
      </c>
      <c r="G6" s="4">
        <v>11</v>
      </c>
      <c r="H6" s="5">
        <v>0.58799999999999997</v>
      </c>
      <c r="I6" s="6">
        <f t="shared" si="0"/>
        <v>0</v>
      </c>
      <c r="J6" s="6">
        <f t="shared" si="0"/>
        <v>0</v>
      </c>
      <c r="K6" s="6">
        <f t="shared" si="1"/>
        <v>0</v>
      </c>
      <c r="L6" s="6">
        <f t="shared" si="2"/>
        <v>0</v>
      </c>
      <c r="M6" s="6" t="str">
        <f t="shared" si="3"/>
        <v>☆</v>
      </c>
    </row>
    <row r="7" spans="1:23" x14ac:dyDescent="0.25">
      <c r="A7" s="4" t="s">
        <v>28</v>
      </c>
      <c r="B7" s="4" t="s">
        <v>29</v>
      </c>
      <c r="C7" s="4" t="s">
        <v>30</v>
      </c>
      <c r="D7" s="4">
        <v>28</v>
      </c>
      <c r="E7" s="4">
        <v>9</v>
      </c>
      <c r="F7" s="4">
        <v>765</v>
      </c>
      <c r="G7" s="4">
        <v>17</v>
      </c>
      <c r="H7" s="5">
        <v>0.53600000000000003</v>
      </c>
      <c r="I7" s="6">
        <f t="shared" si="0"/>
        <v>0</v>
      </c>
      <c r="J7" s="6">
        <f t="shared" si="0"/>
        <v>0</v>
      </c>
      <c r="K7" s="6">
        <f t="shared" si="1"/>
        <v>0</v>
      </c>
      <c r="L7" s="6">
        <f t="shared" si="2"/>
        <v>0</v>
      </c>
      <c r="M7" s="6" t="str">
        <f t="shared" si="3"/>
        <v>☆</v>
      </c>
    </row>
    <row r="8" spans="1:23" x14ac:dyDescent="0.25">
      <c r="A8" s="4" t="s">
        <v>31</v>
      </c>
      <c r="B8" s="4" t="s">
        <v>32</v>
      </c>
      <c r="C8" s="4" t="s">
        <v>33</v>
      </c>
      <c r="D8" s="4">
        <v>39</v>
      </c>
      <c r="E8" s="4">
        <v>2</v>
      </c>
      <c r="F8" s="4">
        <v>180</v>
      </c>
      <c r="G8" s="4">
        <v>6</v>
      </c>
      <c r="H8" s="5">
        <v>0.54500000000000004</v>
      </c>
      <c r="I8" s="6">
        <f t="shared" si="0"/>
        <v>0</v>
      </c>
      <c r="J8" s="6">
        <f t="shared" si="0"/>
        <v>0</v>
      </c>
      <c r="K8" s="6">
        <f t="shared" si="1"/>
        <v>0</v>
      </c>
      <c r="L8" s="6">
        <f t="shared" si="2"/>
        <v>0</v>
      </c>
      <c r="M8" s="6" t="str">
        <f t="shared" si="3"/>
        <v>☆</v>
      </c>
    </row>
    <row r="9" spans="1:23" x14ac:dyDescent="0.25">
      <c r="A9" s="4" t="s">
        <v>34</v>
      </c>
      <c r="B9" s="4" t="s">
        <v>29</v>
      </c>
      <c r="C9" s="4" t="s">
        <v>35</v>
      </c>
      <c r="D9" s="4">
        <v>30</v>
      </c>
      <c r="E9" s="4">
        <v>8</v>
      </c>
      <c r="F9" s="4">
        <v>720</v>
      </c>
      <c r="G9" s="4">
        <v>25</v>
      </c>
      <c r="H9" s="5">
        <v>0.64900000000000002</v>
      </c>
      <c r="I9" s="6">
        <f t="shared" si="0"/>
        <v>0</v>
      </c>
      <c r="J9" s="6">
        <f t="shared" si="0"/>
        <v>0</v>
      </c>
      <c r="K9" s="6">
        <f t="shared" si="1"/>
        <v>0</v>
      </c>
      <c r="L9" s="6">
        <f t="shared" si="2"/>
        <v>0</v>
      </c>
      <c r="M9" s="6" t="str">
        <f t="shared" si="3"/>
        <v>☆</v>
      </c>
    </row>
    <row r="10" spans="1:23" x14ac:dyDescent="0.25">
      <c r="A10" s="4" t="s">
        <v>36</v>
      </c>
      <c r="B10" s="4" t="s">
        <v>37</v>
      </c>
      <c r="C10" s="4" t="s">
        <v>35</v>
      </c>
      <c r="D10" s="4">
        <v>32</v>
      </c>
      <c r="E10" s="4">
        <v>26</v>
      </c>
      <c r="F10" s="4">
        <v>2340</v>
      </c>
      <c r="G10" s="4">
        <v>71</v>
      </c>
      <c r="H10" s="5">
        <v>0.67900000000000005</v>
      </c>
      <c r="I10" s="6">
        <f t="shared" si="0"/>
        <v>1</v>
      </c>
      <c r="J10" s="6">
        <f t="shared" si="0"/>
        <v>1</v>
      </c>
      <c r="K10" s="6">
        <f t="shared" si="1"/>
        <v>2</v>
      </c>
      <c r="L10" s="6">
        <f t="shared" si="2"/>
        <v>4</v>
      </c>
      <c r="M10" s="6" t="str">
        <f t="shared" si="3"/>
        <v>★★★★</v>
      </c>
    </row>
    <row r="11" spans="1:23" x14ac:dyDescent="0.25">
      <c r="A11" s="4" t="s">
        <v>38</v>
      </c>
      <c r="B11" s="4" t="s">
        <v>14</v>
      </c>
      <c r="C11" s="4" t="s">
        <v>39</v>
      </c>
      <c r="D11" s="4">
        <v>27</v>
      </c>
      <c r="E11" s="4">
        <v>37</v>
      </c>
      <c r="F11" s="4">
        <v>3330</v>
      </c>
      <c r="G11" s="4">
        <v>56</v>
      </c>
      <c r="H11" s="5">
        <v>0.69899999999999995</v>
      </c>
      <c r="I11" s="6">
        <f t="shared" si="0"/>
        <v>1</v>
      </c>
      <c r="J11" s="6">
        <f t="shared" si="0"/>
        <v>1</v>
      </c>
      <c r="K11" s="6">
        <f t="shared" si="1"/>
        <v>2</v>
      </c>
      <c r="L11" s="6">
        <f t="shared" si="2"/>
        <v>4</v>
      </c>
      <c r="M11" s="6" t="str">
        <f t="shared" si="3"/>
        <v>★★★★</v>
      </c>
    </row>
    <row r="12" spans="1:23" x14ac:dyDescent="0.25">
      <c r="A12" s="4" t="s">
        <v>40</v>
      </c>
      <c r="B12" s="4" t="s">
        <v>41</v>
      </c>
      <c r="C12" s="4" t="s">
        <v>18</v>
      </c>
      <c r="D12" s="4">
        <v>36</v>
      </c>
      <c r="E12" s="4">
        <v>37</v>
      </c>
      <c r="F12" s="4">
        <v>3330</v>
      </c>
      <c r="G12" s="4">
        <v>105</v>
      </c>
      <c r="H12" s="5">
        <v>0.69199999999999995</v>
      </c>
      <c r="I12" s="6">
        <f t="shared" si="0"/>
        <v>1</v>
      </c>
      <c r="J12" s="6">
        <f t="shared" si="0"/>
        <v>1</v>
      </c>
      <c r="K12" s="6">
        <f t="shared" si="1"/>
        <v>2</v>
      </c>
      <c r="L12" s="6">
        <f t="shared" si="2"/>
        <v>4</v>
      </c>
      <c r="M12" s="6" t="str">
        <f t="shared" si="3"/>
        <v>★★★★</v>
      </c>
    </row>
    <row r="13" spans="1:23" x14ac:dyDescent="0.25">
      <c r="A13" s="4" t="s">
        <v>42</v>
      </c>
      <c r="B13" s="4" t="s">
        <v>20</v>
      </c>
      <c r="C13" s="4" t="s">
        <v>43</v>
      </c>
      <c r="D13" s="4">
        <v>23</v>
      </c>
      <c r="E13" s="4">
        <v>12</v>
      </c>
      <c r="F13" s="4">
        <v>1080</v>
      </c>
      <c r="G13" s="4">
        <v>46</v>
      </c>
      <c r="H13" s="5">
        <v>0.65700000000000003</v>
      </c>
      <c r="I13" s="6">
        <f t="shared" si="0"/>
        <v>0</v>
      </c>
      <c r="J13" s="6">
        <f t="shared" si="0"/>
        <v>0.5</v>
      </c>
      <c r="K13" s="6">
        <f t="shared" si="1"/>
        <v>0</v>
      </c>
      <c r="L13" s="6">
        <f t="shared" si="2"/>
        <v>0.5</v>
      </c>
      <c r="M13" s="6" t="str">
        <f t="shared" si="3"/>
        <v>½</v>
      </c>
    </row>
    <row r="14" spans="1:23" x14ac:dyDescent="0.25">
      <c r="A14" s="4" t="s">
        <v>44</v>
      </c>
      <c r="B14" s="4" t="s">
        <v>29</v>
      </c>
      <c r="C14" s="4" t="s">
        <v>33</v>
      </c>
      <c r="D14" s="4">
        <v>33</v>
      </c>
      <c r="E14" s="4">
        <v>19</v>
      </c>
      <c r="F14" s="4">
        <v>1710</v>
      </c>
      <c r="G14" s="4">
        <v>67</v>
      </c>
      <c r="H14" s="5">
        <v>0.66300000000000003</v>
      </c>
      <c r="I14" s="6">
        <f t="shared" si="0"/>
        <v>1</v>
      </c>
      <c r="J14" s="6">
        <f t="shared" si="0"/>
        <v>1</v>
      </c>
      <c r="K14" s="6">
        <f t="shared" si="1"/>
        <v>2</v>
      </c>
      <c r="L14" s="6">
        <f t="shared" si="2"/>
        <v>4</v>
      </c>
      <c r="M14" s="6" t="str">
        <f t="shared" si="3"/>
        <v>★★★★</v>
      </c>
    </row>
    <row r="15" spans="1:23" x14ac:dyDescent="0.25">
      <c r="A15" s="4" t="s">
        <v>45</v>
      </c>
      <c r="B15" s="4" t="s">
        <v>29</v>
      </c>
      <c r="C15" s="4" t="s">
        <v>24</v>
      </c>
      <c r="D15" s="4">
        <v>38</v>
      </c>
      <c r="E15" s="4">
        <v>26</v>
      </c>
      <c r="F15" s="4">
        <v>2340</v>
      </c>
      <c r="G15" s="4">
        <v>63</v>
      </c>
      <c r="H15" s="5">
        <v>0.58599999999999997</v>
      </c>
      <c r="I15" s="6">
        <f t="shared" si="0"/>
        <v>1</v>
      </c>
      <c r="J15" s="6">
        <f t="shared" si="0"/>
        <v>1</v>
      </c>
      <c r="K15" s="6">
        <f t="shared" si="1"/>
        <v>0</v>
      </c>
      <c r="L15" s="6">
        <f t="shared" si="2"/>
        <v>2</v>
      </c>
      <c r="M15" s="6" t="str">
        <f t="shared" si="3"/>
        <v>★★</v>
      </c>
    </row>
    <row r="16" spans="1:23" x14ac:dyDescent="0.25">
      <c r="A16" s="4" t="s">
        <v>46</v>
      </c>
      <c r="B16" s="4" t="s">
        <v>20</v>
      </c>
      <c r="C16" s="4" t="s">
        <v>47</v>
      </c>
      <c r="D16" s="4">
        <v>30</v>
      </c>
      <c r="E16" s="4">
        <v>38</v>
      </c>
      <c r="F16" s="4">
        <v>3420</v>
      </c>
      <c r="G16" s="4">
        <v>124</v>
      </c>
      <c r="H16" s="5">
        <v>0.69499999999999995</v>
      </c>
      <c r="I16" s="6">
        <f t="shared" si="0"/>
        <v>1</v>
      </c>
      <c r="J16" s="6">
        <f t="shared" si="0"/>
        <v>1</v>
      </c>
      <c r="K16" s="6">
        <f t="shared" si="1"/>
        <v>2</v>
      </c>
      <c r="L16" s="6">
        <f t="shared" si="2"/>
        <v>4</v>
      </c>
      <c r="M16" s="6" t="str">
        <f t="shared" si="3"/>
        <v>★★★★</v>
      </c>
    </row>
    <row r="17" spans="1:13" x14ac:dyDescent="0.25">
      <c r="A17" s="4" t="s">
        <v>48</v>
      </c>
      <c r="B17" s="4" t="s">
        <v>20</v>
      </c>
      <c r="C17" s="4" t="s">
        <v>30</v>
      </c>
      <c r="D17" s="4">
        <v>34</v>
      </c>
      <c r="E17" s="4">
        <v>30</v>
      </c>
      <c r="F17" s="4">
        <v>2655</v>
      </c>
      <c r="G17" s="4">
        <v>83</v>
      </c>
      <c r="H17" s="5">
        <v>0.73499999999999999</v>
      </c>
      <c r="I17" s="6">
        <f t="shared" si="0"/>
        <v>1</v>
      </c>
      <c r="J17" s="6">
        <f t="shared" si="0"/>
        <v>1</v>
      </c>
      <c r="K17" s="6">
        <f t="shared" si="1"/>
        <v>2</v>
      </c>
      <c r="L17" s="6">
        <f t="shared" si="2"/>
        <v>4</v>
      </c>
      <c r="M17" s="6" t="str">
        <f t="shared" si="3"/>
        <v>★★★★</v>
      </c>
    </row>
    <row r="18" spans="1:13" x14ac:dyDescent="0.25">
      <c r="A18" s="4" t="s">
        <v>49</v>
      </c>
      <c r="B18" s="4" t="s">
        <v>29</v>
      </c>
      <c r="C18" s="4" t="s">
        <v>50</v>
      </c>
      <c r="D18" s="4">
        <v>25</v>
      </c>
      <c r="E18" s="4">
        <v>9</v>
      </c>
      <c r="F18" s="4">
        <v>810</v>
      </c>
      <c r="G18" s="4">
        <v>34</v>
      </c>
      <c r="H18" s="7">
        <v>0.63</v>
      </c>
      <c r="I18" s="6">
        <f t="shared" si="0"/>
        <v>0</v>
      </c>
      <c r="J18" s="6">
        <f t="shared" si="0"/>
        <v>0</v>
      </c>
      <c r="K18" s="6">
        <f t="shared" si="1"/>
        <v>0</v>
      </c>
      <c r="L18" s="6">
        <f t="shared" si="2"/>
        <v>0</v>
      </c>
      <c r="M18" s="6" t="str">
        <f t="shared" si="3"/>
        <v>☆</v>
      </c>
    </row>
    <row r="19" spans="1:13" x14ac:dyDescent="0.25">
      <c r="A19" s="4" t="s">
        <v>51</v>
      </c>
      <c r="B19" s="4" t="s">
        <v>52</v>
      </c>
      <c r="C19" s="4" t="s">
        <v>53</v>
      </c>
      <c r="D19" s="4">
        <v>34</v>
      </c>
      <c r="E19" s="4">
        <v>2</v>
      </c>
      <c r="F19" s="4">
        <v>180</v>
      </c>
      <c r="G19" s="4">
        <v>7</v>
      </c>
      <c r="H19" s="5">
        <v>0.53800000000000003</v>
      </c>
      <c r="I19" s="6">
        <f t="shared" si="0"/>
        <v>0</v>
      </c>
      <c r="J19" s="6">
        <f t="shared" si="0"/>
        <v>0</v>
      </c>
      <c r="K19" s="6">
        <f t="shared" si="1"/>
        <v>0</v>
      </c>
      <c r="L19" s="6">
        <f t="shared" si="2"/>
        <v>0</v>
      </c>
      <c r="M19" s="6" t="str">
        <f t="shared" si="3"/>
        <v>☆</v>
      </c>
    </row>
    <row r="20" spans="1:13" x14ac:dyDescent="0.25">
      <c r="A20" s="4" t="s">
        <v>54</v>
      </c>
      <c r="B20" s="4" t="s">
        <v>55</v>
      </c>
      <c r="C20" s="4" t="s">
        <v>15</v>
      </c>
      <c r="D20" s="4">
        <v>22</v>
      </c>
      <c r="E20" s="4">
        <v>2</v>
      </c>
      <c r="F20" s="4">
        <v>180</v>
      </c>
      <c r="G20" s="4">
        <v>5</v>
      </c>
      <c r="H20" s="7">
        <v>0.75</v>
      </c>
      <c r="I20" s="6">
        <f t="shared" si="0"/>
        <v>0</v>
      </c>
      <c r="J20" s="6">
        <f t="shared" si="0"/>
        <v>0</v>
      </c>
      <c r="K20" s="6">
        <f t="shared" si="1"/>
        <v>2</v>
      </c>
      <c r="L20" s="6">
        <f t="shared" si="2"/>
        <v>2</v>
      </c>
      <c r="M20" s="6" t="str">
        <f t="shared" si="3"/>
        <v>★★</v>
      </c>
    </row>
    <row r="21" spans="1:13" x14ac:dyDescent="0.25">
      <c r="A21" s="4" t="s">
        <v>56</v>
      </c>
      <c r="B21" s="4" t="s">
        <v>57</v>
      </c>
      <c r="C21" s="4" t="s">
        <v>58</v>
      </c>
      <c r="D21" s="4">
        <v>20</v>
      </c>
      <c r="E21" s="4">
        <v>1</v>
      </c>
      <c r="F21" s="4">
        <v>36</v>
      </c>
      <c r="G21" s="4">
        <v>4</v>
      </c>
      <c r="H21" s="7">
        <v>1</v>
      </c>
      <c r="I21" s="6">
        <f t="shared" si="0"/>
        <v>0</v>
      </c>
      <c r="J21" s="6">
        <f t="shared" si="0"/>
        <v>0</v>
      </c>
      <c r="K21" s="6">
        <f t="shared" si="1"/>
        <v>2</v>
      </c>
      <c r="L21" s="6">
        <f t="shared" si="2"/>
        <v>2</v>
      </c>
      <c r="M21" s="6" t="str">
        <f t="shared" si="3"/>
        <v>★★</v>
      </c>
    </row>
    <row r="22" spans="1:13" x14ac:dyDescent="0.25">
      <c r="A22" s="4" t="s">
        <v>59</v>
      </c>
      <c r="B22" s="4" t="s">
        <v>60</v>
      </c>
      <c r="C22" s="4" t="s">
        <v>50</v>
      </c>
      <c r="D22" s="4">
        <v>33</v>
      </c>
      <c r="E22" s="4">
        <v>29</v>
      </c>
      <c r="F22" s="4">
        <v>2610</v>
      </c>
      <c r="G22" s="4">
        <v>101</v>
      </c>
      <c r="H22" s="5">
        <v>0.65200000000000002</v>
      </c>
      <c r="I22" s="6">
        <f t="shared" si="0"/>
        <v>1</v>
      </c>
      <c r="J22" s="6">
        <f t="shared" si="0"/>
        <v>1</v>
      </c>
      <c r="K22" s="6">
        <f t="shared" si="1"/>
        <v>0</v>
      </c>
      <c r="L22" s="6">
        <f t="shared" si="2"/>
        <v>2</v>
      </c>
      <c r="M22" s="6" t="str">
        <f t="shared" si="3"/>
        <v>★★</v>
      </c>
    </row>
    <row r="23" spans="1:13" x14ac:dyDescent="0.25">
      <c r="A23" s="4" t="s">
        <v>61</v>
      </c>
      <c r="B23" s="4" t="s">
        <v>62</v>
      </c>
      <c r="C23" s="4" t="s">
        <v>63</v>
      </c>
      <c r="D23" s="4">
        <v>29</v>
      </c>
      <c r="E23" s="4">
        <v>4</v>
      </c>
      <c r="F23" s="4">
        <v>360</v>
      </c>
      <c r="G23" s="4">
        <v>9</v>
      </c>
      <c r="H23" s="5">
        <v>0.52600000000000002</v>
      </c>
      <c r="I23" s="6">
        <f t="shared" si="0"/>
        <v>0</v>
      </c>
      <c r="J23" s="6">
        <f t="shared" si="0"/>
        <v>0</v>
      </c>
      <c r="K23" s="6">
        <f t="shared" si="1"/>
        <v>0</v>
      </c>
      <c r="L23" s="6">
        <f t="shared" si="2"/>
        <v>0</v>
      </c>
      <c r="M23" s="6" t="str">
        <f t="shared" si="3"/>
        <v>☆</v>
      </c>
    </row>
    <row r="24" spans="1:13" x14ac:dyDescent="0.25">
      <c r="A24" s="4" t="s">
        <v>64</v>
      </c>
      <c r="B24" s="4" t="s">
        <v>17</v>
      </c>
      <c r="C24" s="4" t="s">
        <v>65</v>
      </c>
      <c r="D24" s="4">
        <v>34</v>
      </c>
      <c r="E24" s="4">
        <v>38</v>
      </c>
      <c r="F24" s="4">
        <v>3420</v>
      </c>
      <c r="G24" s="4">
        <v>95</v>
      </c>
      <c r="H24" s="5">
        <v>0.71399999999999997</v>
      </c>
      <c r="I24" s="6">
        <f t="shared" si="0"/>
        <v>1</v>
      </c>
      <c r="J24" s="6">
        <f t="shared" si="0"/>
        <v>1</v>
      </c>
      <c r="K24" s="6">
        <f t="shared" si="1"/>
        <v>2</v>
      </c>
      <c r="L24" s="6">
        <f t="shared" si="2"/>
        <v>4</v>
      </c>
      <c r="M24" s="6" t="str">
        <f t="shared" si="3"/>
        <v>★★★★</v>
      </c>
    </row>
    <row r="25" spans="1:13" x14ac:dyDescent="0.25">
      <c r="A25" s="4" t="s">
        <v>66</v>
      </c>
      <c r="B25" s="4" t="s">
        <v>67</v>
      </c>
      <c r="C25" s="4" t="s">
        <v>43</v>
      </c>
      <c r="D25" s="4">
        <v>32</v>
      </c>
      <c r="E25" s="4">
        <v>2</v>
      </c>
      <c r="F25" s="4">
        <v>180</v>
      </c>
      <c r="G25" s="4">
        <v>2</v>
      </c>
      <c r="H25" s="5">
        <v>0.28599999999999998</v>
      </c>
      <c r="I25" s="6">
        <f t="shared" si="0"/>
        <v>0</v>
      </c>
      <c r="J25" s="6">
        <f t="shared" si="0"/>
        <v>0</v>
      </c>
      <c r="K25" s="6">
        <f t="shared" si="1"/>
        <v>0</v>
      </c>
      <c r="L25" s="6">
        <f t="shared" si="2"/>
        <v>0</v>
      </c>
      <c r="M25" s="6" t="str">
        <f t="shared" si="3"/>
        <v>☆</v>
      </c>
    </row>
    <row r="26" spans="1:13" x14ac:dyDescent="0.25">
      <c r="A26" s="4" t="s">
        <v>68</v>
      </c>
      <c r="B26" s="4" t="s">
        <v>32</v>
      </c>
      <c r="C26" s="4" t="s">
        <v>69</v>
      </c>
      <c r="D26" s="4">
        <v>28</v>
      </c>
      <c r="E26" s="4">
        <v>36</v>
      </c>
      <c r="F26" s="4">
        <v>3240</v>
      </c>
      <c r="G26" s="4">
        <v>93</v>
      </c>
      <c r="H26" s="5">
        <v>0.67600000000000005</v>
      </c>
      <c r="I26" s="6">
        <f t="shared" si="0"/>
        <v>1</v>
      </c>
      <c r="J26" s="6">
        <f t="shared" si="0"/>
        <v>1</v>
      </c>
      <c r="K26" s="6">
        <f t="shared" si="1"/>
        <v>2</v>
      </c>
      <c r="L26" s="6">
        <f t="shared" si="2"/>
        <v>4</v>
      </c>
      <c r="M26" s="6" t="str">
        <f t="shared" si="3"/>
        <v>★★★★</v>
      </c>
    </row>
    <row r="27" spans="1:13" x14ac:dyDescent="0.25">
      <c r="A27" s="4" t="s">
        <v>70</v>
      </c>
      <c r="B27" s="4" t="s">
        <v>29</v>
      </c>
      <c r="C27" s="4" t="s">
        <v>33</v>
      </c>
      <c r="D27" s="4">
        <v>31</v>
      </c>
      <c r="E27" s="4">
        <v>17</v>
      </c>
      <c r="F27" s="4">
        <v>1530</v>
      </c>
      <c r="G27" s="4">
        <v>43</v>
      </c>
      <c r="H27" s="7">
        <v>0.62</v>
      </c>
      <c r="I27" s="6">
        <f t="shared" si="0"/>
        <v>0.5</v>
      </c>
      <c r="J27" s="6">
        <f t="shared" si="0"/>
        <v>0</v>
      </c>
      <c r="K27" s="6">
        <f t="shared" si="1"/>
        <v>0</v>
      </c>
      <c r="L27" s="6">
        <f t="shared" si="2"/>
        <v>0.5</v>
      </c>
      <c r="M27" s="6" t="str">
        <f t="shared" si="3"/>
        <v>½</v>
      </c>
    </row>
    <row r="28" spans="1:13" x14ac:dyDescent="0.25">
      <c r="A28" s="4" t="s">
        <v>71</v>
      </c>
      <c r="B28" s="4" t="s">
        <v>72</v>
      </c>
      <c r="C28" s="4" t="s">
        <v>21</v>
      </c>
      <c r="D28" s="4">
        <v>29</v>
      </c>
      <c r="E28" s="4">
        <v>34</v>
      </c>
      <c r="F28" s="4">
        <v>3060</v>
      </c>
      <c r="G28" s="4">
        <v>70</v>
      </c>
      <c r="H28" s="5">
        <v>0.73699999999999999</v>
      </c>
      <c r="I28" s="6">
        <f t="shared" si="0"/>
        <v>1</v>
      </c>
      <c r="J28" s="6">
        <f t="shared" si="0"/>
        <v>1</v>
      </c>
      <c r="K28" s="6">
        <f t="shared" si="1"/>
        <v>2</v>
      </c>
      <c r="L28" s="6">
        <f t="shared" si="2"/>
        <v>4</v>
      </c>
      <c r="M28" s="6" t="str">
        <f t="shared" si="3"/>
        <v>★★★★</v>
      </c>
    </row>
    <row r="29" spans="1:13" x14ac:dyDescent="0.25">
      <c r="A29" s="4" t="s">
        <v>73</v>
      </c>
      <c r="B29" s="4" t="s">
        <v>17</v>
      </c>
      <c r="C29" s="4" t="s">
        <v>58</v>
      </c>
      <c r="D29" s="4">
        <v>21</v>
      </c>
      <c r="E29" s="4">
        <v>38</v>
      </c>
      <c r="F29" s="4">
        <v>3384</v>
      </c>
      <c r="G29" s="4">
        <v>139</v>
      </c>
      <c r="H29" s="5">
        <v>0.65600000000000003</v>
      </c>
      <c r="I29" s="6">
        <f t="shared" si="0"/>
        <v>1</v>
      </c>
      <c r="J29" s="6">
        <f t="shared" si="0"/>
        <v>1</v>
      </c>
      <c r="K29" s="6">
        <f t="shared" si="1"/>
        <v>0</v>
      </c>
      <c r="L29" s="6">
        <f t="shared" si="2"/>
        <v>2</v>
      </c>
      <c r="M29" s="6" t="str">
        <f t="shared" si="3"/>
        <v>★★</v>
      </c>
    </row>
    <row r="30" spans="1:13" x14ac:dyDescent="0.25">
      <c r="A30" s="4" t="s">
        <v>74</v>
      </c>
      <c r="B30" s="4" t="s">
        <v>75</v>
      </c>
      <c r="C30" s="4" t="s">
        <v>69</v>
      </c>
      <c r="D30" s="4">
        <v>31</v>
      </c>
      <c r="E30" s="4">
        <v>1</v>
      </c>
      <c r="F30" s="4">
        <v>90</v>
      </c>
      <c r="G30" s="4">
        <v>2</v>
      </c>
      <c r="H30" s="7">
        <v>0.4</v>
      </c>
      <c r="I30" s="6">
        <f t="shared" si="0"/>
        <v>0</v>
      </c>
      <c r="J30" s="6">
        <f t="shared" si="0"/>
        <v>0</v>
      </c>
      <c r="K30" s="6">
        <f t="shared" si="1"/>
        <v>0</v>
      </c>
      <c r="L30" s="6">
        <f t="shared" si="2"/>
        <v>0</v>
      </c>
      <c r="M30" s="6" t="str">
        <f t="shared" si="3"/>
        <v>☆</v>
      </c>
    </row>
    <row r="31" spans="1:13" x14ac:dyDescent="0.25">
      <c r="A31" s="4" t="s">
        <v>76</v>
      </c>
      <c r="B31" s="4" t="s">
        <v>29</v>
      </c>
      <c r="C31" s="4" t="s">
        <v>27</v>
      </c>
      <c r="D31" s="4">
        <v>27</v>
      </c>
      <c r="E31" s="4">
        <v>35</v>
      </c>
      <c r="F31" s="4">
        <v>3150</v>
      </c>
      <c r="G31" s="4">
        <v>114</v>
      </c>
      <c r="H31" s="5">
        <v>0.65900000000000003</v>
      </c>
      <c r="I31" s="6">
        <f t="shared" si="0"/>
        <v>1</v>
      </c>
      <c r="J31" s="6">
        <f t="shared" si="0"/>
        <v>1</v>
      </c>
      <c r="K31" s="6">
        <f t="shared" si="1"/>
        <v>2</v>
      </c>
      <c r="L31" s="6">
        <f t="shared" si="2"/>
        <v>4</v>
      </c>
      <c r="M31" s="6" t="str">
        <f t="shared" si="3"/>
        <v>★★★★</v>
      </c>
    </row>
    <row r="32" spans="1:13" x14ac:dyDescent="0.25">
      <c r="A32" s="4" t="s">
        <v>77</v>
      </c>
      <c r="B32" s="4" t="s">
        <v>29</v>
      </c>
      <c r="C32" s="4" t="s">
        <v>53</v>
      </c>
      <c r="D32" s="4">
        <v>29</v>
      </c>
      <c r="E32" s="4">
        <v>36</v>
      </c>
      <c r="F32" s="4">
        <v>3240</v>
      </c>
      <c r="G32" s="4">
        <v>116</v>
      </c>
      <c r="H32" s="5">
        <v>0.73599999999999999</v>
      </c>
      <c r="I32" s="6">
        <f t="shared" si="0"/>
        <v>1</v>
      </c>
      <c r="J32" s="6">
        <f t="shared" si="0"/>
        <v>1</v>
      </c>
      <c r="K32" s="6">
        <f t="shared" si="1"/>
        <v>2</v>
      </c>
      <c r="L32" s="6">
        <f t="shared" si="2"/>
        <v>4</v>
      </c>
      <c r="M32" s="6" t="str">
        <f t="shared" si="3"/>
        <v>★★★★</v>
      </c>
    </row>
    <row r="33" spans="1:13" x14ac:dyDescent="0.25">
      <c r="A33" s="4" t="s">
        <v>78</v>
      </c>
      <c r="B33" s="4" t="s">
        <v>29</v>
      </c>
      <c r="C33" s="4" t="s">
        <v>63</v>
      </c>
      <c r="D33" s="4">
        <v>23</v>
      </c>
      <c r="E33" s="4">
        <v>34</v>
      </c>
      <c r="F33" s="4">
        <v>3060</v>
      </c>
      <c r="G33" s="4">
        <v>84</v>
      </c>
      <c r="H33" s="5">
        <v>0.72099999999999997</v>
      </c>
      <c r="I33" s="6">
        <f t="shared" si="0"/>
        <v>1</v>
      </c>
      <c r="J33" s="6">
        <f t="shared" si="0"/>
        <v>1</v>
      </c>
      <c r="K33" s="6">
        <f t="shared" si="1"/>
        <v>2</v>
      </c>
      <c r="L33" s="6">
        <f t="shared" si="2"/>
        <v>4</v>
      </c>
      <c r="M33" s="6" t="str">
        <f t="shared" si="3"/>
        <v>★★★★</v>
      </c>
    </row>
    <row r="34" spans="1:13" x14ac:dyDescent="0.25">
      <c r="A34" s="4" t="s">
        <v>79</v>
      </c>
      <c r="B34" s="4" t="s">
        <v>20</v>
      </c>
      <c r="C34" s="4" t="s">
        <v>43</v>
      </c>
      <c r="D34" s="4">
        <v>25</v>
      </c>
      <c r="E34" s="4">
        <v>24</v>
      </c>
      <c r="F34" s="4">
        <v>2160</v>
      </c>
      <c r="G34" s="4">
        <v>75</v>
      </c>
      <c r="H34" s="5">
        <v>0.76800000000000002</v>
      </c>
      <c r="I34" s="6">
        <f t="shared" si="0"/>
        <v>1</v>
      </c>
      <c r="J34" s="6">
        <f t="shared" si="0"/>
        <v>1</v>
      </c>
      <c r="K34" s="6">
        <f t="shared" si="1"/>
        <v>2</v>
      </c>
      <c r="L34" s="6">
        <f t="shared" si="2"/>
        <v>4</v>
      </c>
      <c r="M34" s="6" t="str">
        <f t="shared" si="3"/>
        <v>★★★★</v>
      </c>
    </row>
    <row r="35" spans="1:13" x14ac:dyDescent="0.25">
      <c r="A35" s="4" t="s">
        <v>80</v>
      </c>
      <c r="B35" s="4" t="s">
        <v>29</v>
      </c>
      <c r="C35" s="4" t="s">
        <v>81</v>
      </c>
      <c r="D35" s="4">
        <v>34</v>
      </c>
      <c r="E35" s="4">
        <v>2</v>
      </c>
      <c r="F35" s="4">
        <v>135</v>
      </c>
      <c r="G35" s="4">
        <v>4</v>
      </c>
      <c r="H35" s="5">
        <v>0.57099999999999995</v>
      </c>
      <c r="I35" s="6">
        <f t="shared" si="0"/>
        <v>0</v>
      </c>
      <c r="J35" s="6">
        <f t="shared" si="0"/>
        <v>0</v>
      </c>
      <c r="K35" s="6">
        <f t="shared" si="1"/>
        <v>0</v>
      </c>
      <c r="L35" s="6">
        <f t="shared" si="2"/>
        <v>0</v>
      </c>
      <c r="M35" s="6" t="str">
        <f t="shared" si="3"/>
        <v>☆</v>
      </c>
    </row>
    <row r="36" spans="1:13" x14ac:dyDescent="0.25">
      <c r="A36" s="4" t="s">
        <v>82</v>
      </c>
      <c r="B36" s="4" t="s">
        <v>83</v>
      </c>
      <c r="C36" s="4" t="s">
        <v>81</v>
      </c>
      <c r="D36" s="4">
        <v>28</v>
      </c>
      <c r="E36" s="4">
        <v>37</v>
      </c>
      <c r="F36" s="4">
        <v>3285</v>
      </c>
      <c r="G36" s="4">
        <v>120</v>
      </c>
      <c r="H36" s="5">
        <v>0.79300000000000004</v>
      </c>
      <c r="I36" s="6">
        <f t="shared" si="0"/>
        <v>1</v>
      </c>
      <c r="J36" s="6">
        <f t="shared" si="0"/>
        <v>1</v>
      </c>
      <c r="K36" s="6">
        <f t="shared" si="1"/>
        <v>2</v>
      </c>
      <c r="L36" s="6">
        <f t="shared" si="2"/>
        <v>4</v>
      </c>
      <c r="M36" s="6" t="str">
        <f t="shared" si="3"/>
        <v>★★★★</v>
      </c>
    </row>
    <row r="37" spans="1:13" x14ac:dyDescent="0.25">
      <c r="A37" s="4" t="s">
        <v>84</v>
      </c>
      <c r="B37" s="4" t="s">
        <v>20</v>
      </c>
      <c r="C37" s="4" t="s">
        <v>85</v>
      </c>
      <c r="D37" s="4">
        <v>23</v>
      </c>
      <c r="E37" s="4">
        <v>37</v>
      </c>
      <c r="F37" s="4">
        <v>3329</v>
      </c>
      <c r="G37" s="4">
        <v>100</v>
      </c>
      <c r="H37" s="5">
        <v>0.72099999999999997</v>
      </c>
      <c r="I37" s="6">
        <f t="shared" si="0"/>
        <v>1</v>
      </c>
      <c r="J37" s="6">
        <f t="shared" si="0"/>
        <v>1</v>
      </c>
      <c r="K37" s="6">
        <f t="shared" si="1"/>
        <v>2</v>
      </c>
      <c r="L37" s="6">
        <f t="shared" si="2"/>
        <v>4</v>
      </c>
      <c r="M37" s="6" t="str">
        <f t="shared" si="3"/>
        <v>★★★★</v>
      </c>
    </row>
    <row r="38" spans="1:13" x14ac:dyDescent="0.25">
      <c r="A38" s="4" t="s">
        <v>86</v>
      </c>
      <c r="B38" s="4" t="s">
        <v>67</v>
      </c>
      <c r="C38" s="4" t="s">
        <v>87</v>
      </c>
      <c r="D38" s="4">
        <v>34</v>
      </c>
      <c r="E38" s="4">
        <v>37</v>
      </c>
      <c r="F38" s="4">
        <v>3330</v>
      </c>
      <c r="G38" s="4">
        <v>125</v>
      </c>
      <c r="H38" s="7">
        <v>0.71</v>
      </c>
      <c r="I38" s="6">
        <f t="shared" si="0"/>
        <v>1</v>
      </c>
      <c r="J38" s="6">
        <f t="shared" si="0"/>
        <v>1</v>
      </c>
      <c r="K38" s="6">
        <f t="shared" si="1"/>
        <v>2</v>
      </c>
      <c r="L38" s="6">
        <f t="shared" si="2"/>
        <v>4</v>
      </c>
      <c r="M38" s="6" t="str">
        <f t="shared" si="3"/>
        <v>★★★★</v>
      </c>
    </row>
    <row r="39" spans="1:13" x14ac:dyDescent="0.25">
      <c r="A39" s="4" t="s">
        <v>88</v>
      </c>
      <c r="B39" s="4" t="s">
        <v>29</v>
      </c>
      <c r="C39" s="4" t="s">
        <v>85</v>
      </c>
      <c r="D39" s="4">
        <v>30</v>
      </c>
      <c r="E39" s="4">
        <v>1</v>
      </c>
      <c r="F39" s="4">
        <v>90</v>
      </c>
      <c r="G39" s="4">
        <v>3</v>
      </c>
      <c r="H39" s="7">
        <v>0.6</v>
      </c>
      <c r="I39" s="6">
        <f t="shared" si="0"/>
        <v>0</v>
      </c>
      <c r="J39" s="6">
        <f t="shared" si="0"/>
        <v>0</v>
      </c>
      <c r="K39" s="6">
        <f t="shared" si="1"/>
        <v>0</v>
      </c>
      <c r="L39" s="6">
        <f t="shared" si="2"/>
        <v>0</v>
      </c>
      <c r="M39" s="6" t="str">
        <f t="shared" si="3"/>
        <v>☆</v>
      </c>
    </row>
    <row r="40" spans="1:13" x14ac:dyDescent="0.25">
      <c r="A40" s="4" t="s">
        <v>89</v>
      </c>
      <c r="B40" s="4" t="s">
        <v>29</v>
      </c>
      <c r="C40" s="4" t="s">
        <v>69</v>
      </c>
      <c r="D40" s="4">
        <v>28</v>
      </c>
      <c r="E40" s="4">
        <v>1</v>
      </c>
      <c r="F40" s="4">
        <v>90</v>
      </c>
      <c r="G40" s="4">
        <v>1</v>
      </c>
      <c r="H40" s="7">
        <v>0.25</v>
      </c>
      <c r="I40" s="6">
        <f t="shared" si="0"/>
        <v>0</v>
      </c>
      <c r="J40" s="6">
        <f t="shared" si="0"/>
        <v>0</v>
      </c>
      <c r="K40" s="6">
        <f t="shared" si="1"/>
        <v>0</v>
      </c>
      <c r="L40" s="6">
        <f t="shared" si="2"/>
        <v>0</v>
      </c>
      <c r="M40" s="6" t="str">
        <f t="shared" si="3"/>
        <v>☆</v>
      </c>
    </row>
    <row r="41" spans="1:13" x14ac:dyDescent="0.25">
      <c r="A41" s="4" t="s">
        <v>90</v>
      </c>
      <c r="B41" s="4" t="s">
        <v>91</v>
      </c>
      <c r="C41" s="4" t="s">
        <v>39</v>
      </c>
      <c r="D41" s="4">
        <v>26</v>
      </c>
      <c r="E41" s="4">
        <v>1</v>
      </c>
      <c r="F41" s="4">
        <v>90</v>
      </c>
      <c r="G41" s="4">
        <v>2</v>
      </c>
      <c r="H41" s="7">
        <v>1</v>
      </c>
      <c r="I41" s="6">
        <f t="shared" si="0"/>
        <v>0</v>
      </c>
      <c r="J41" s="6">
        <f t="shared" si="0"/>
        <v>0</v>
      </c>
      <c r="K41" s="6">
        <f t="shared" si="1"/>
        <v>2</v>
      </c>
      <c r="L41" s="6">
        <f t="shared" si="2"/>
        <v>2</v>
      </c>
      <c r="M41" s="6" t="str">
        <f t="shared" si="3"/>
        <v>★★</v>
      </c>
    </row>
    <row r="42" spans="1:13" x14ac:dyDescent="0.25">
      <c r="A42" s="4" t="s">
        <v>92</v>
      </c>
      <c r="B42" s="4" t="s">
        <v>52</v>
      </c>
      <c r="C42" s="4" t="s">
        <v>87</v>
      </c>
      <c r="D42" s="4">
        <v>28</v>
      </c>
      <c r="E42" s="4">
        <v>1</v>
      </c>
      <c r="F42" s="4">
        <v>90</v>
      </c>
      <c r="G42" s="4">
        <v>4</v>
      </c>
      <c r="H42" s="7">
        <v>0.8</v>
      </c>
      <c r="I42" s="6">
        <f t="shared" si="0"/>
        <v>0</v>
      </c>
      <c r="J42" s="6">
        <f t="shared" si="0"/>
        <v>0</v>
      </c>
      <c r="K42" s="6">
        <f t="shared" si="1"/>
        <v>2</v>
      </c>
      <c r="L42" s="6">
        <f t="shared" si="2"/>
        <v>2</v>
      </c>
      <c r="M42" s="6" t="str">
        <f t="shared" si="3"/>
        <v>★★</v>
      </c>
    </row>
    <row r="43" spans="1:13" x14ac:dyDescent="0.25">
      <c r="A43" s="4" t="s">
        <v>93</v>
      </c>
      <c r="B43" s="4" t="s">
        <v>29</v>
      </c>
      <c r="C43" s="4" t="s">
        <v>35</v>
      </c>
      <c r="D43" s="4">
        <v>24</v>
      </c>
      <c r="E43" s="4">
        <v>4</v>
      </c>
      <c r="F43" s="4">
        <v>360</v>
      </c>
      <c r="G43" s="4">
        <v>9</v>
      </c>
      <c r="H43" s="5">
        <v>0.47399999999999998</v>
      </c>
      <c r="I43" s="6">
        <f t="shared" si="0"/>
        <v>0</v>
      </c>
      <c r="J43" s="6">
        <f t="shared" si="0"/>
        <v>0</v>
      </c>
      <c r="K43" s="6">
        <f t="shared" si="1"/>
        <v>0</v>
      </c>
      <c r="L43" s="6">
        <f t="shared" si="2"/>
        <v>0</v>
      </c>
      <c r="M43" s="6" t="str">
        <f t="shared" si="3"/>
        <v>☆</v>
      </c>
    </row>
    <row r="44" spans="1:13" x14ac:dyDescent="0.25">
      <c r="D44" s="29" t="s">
        <v>94</v>
      </c>
      <c r="E44" s="30">
        <f t="shared" ref="E44:G44" si="4">MEDIAN(E2:E43)</f>
        <v>14.5</v>
      </c>
      <c r="F44" s="30">
        <f t="shared" si="4"/>
        <v>1305</v>
      </c>
      <c r="G44" s="30">
        <f t="shared" si="4"/>
        <v>45.5</v>
      </c>
      <c r="H44" s="31">
        <v>0.66500000000000004</v>
      </c>
    </row>
    <row r="45" spans="1:13" x14ac:dyDescent="0.25">
      <c r="D45" s="29" t="s">
        <v>95</v>
      </c>
      <c r="E45" s="30">
        <f t="shared" ref="E45:G45" si="5">AVERAGE(E2:E43)</f>
        <v>18.166666666666668</v>
      </c>
      <c r="F45" s="30">
        <f t="shared" si="5"/>
        <v>1628.547619047619</v>
      </c>
      <c r="G45" s="30">
        <f t="shared" si="5"/>
        <v>51.571428571428569</v>
      </c>
      <c r="H45" s="31">
        <v>0.65752380952380995</v>
      </c>
    </row>
    <row r="46" spans="1:13" x14ac:dyDescent="0.25">
      <c r="H46" s="8" t="s">
        <v>96</v>
      </c>
    </row>
    <row r="47" spans="1:13" x14ac:dyDescent="0.25">
      <c r="H47" s="8" t="s">
        <v>96</v>
      </c>
    </row>
    <row r="48" spans="1:13" x14ac:dyDescent="0.25">
      <c r="H48" s="8" t="s">
        <v>96</v>
      </c>
    </row>
    <row r="49" spans="8:8" x14ac:dyDescent="0.25">
      <c r="H49" s="8" t="s">
        <v>96</v>
      </c>
    </row>
    <row r="50" spans="8:8" x14ac:dyDescent="0.25">
      <c r="H50" s="8" t="s">
        <v>96</v>
      </c>
    </row>
    <row r="51" spans="8:8" x14ac:dyDescent="0.25">
      <c r="H51" s="8" t="s">
        <v>96</v>
      </c>
    </row>
    <row r="52" spans="8:8" x14ac:dyDescent="0.25">
      <c r="H52" s="8" t="s">
        <v>96</v>
      </c>
    </row>
    <row r="53" spans="8:8" x14ac:dyDescent="0.25">
      <c r="H53" s="8" t="s">
        <v>96</v>
      </c>
    </row>
    <row r="54" spans="8:8" x14ac:dyDescent="0.25">
      <c r="H54" s="8" t="s">
        <v>96</v>
      </c>
    </row>
    <row r="55" spans="8:8" x14ac:dyDescent="0.25">
      <c r="H55" s="8" t="s">
        <v>96</v>
      </c>
    </row>
    <row r="56" spans="8:8" x14ac:dyDescent="0.25">
      <c r="H56" s="8" t="s">
        <v>96</v>
      </c>
    </row>
    <row r="57" spans="8:8" x14ac:dyDescent="0.25">
      <c r="H57" s="8" t="s">
        <v>96</v>
      </c>
    </row>
    <row r="58" spans="8:8" x14ac:dyDescent="0.25">
      <c r="H58" s="8" t="s">
        <v>96</v>
      </c>
    </row>
    <row r="59" spans="8:8" x14ac:dyDescent="0.25">
      <c r="H59" s="8" t="s">
        <v>96</v>
      </c>
    </row>
    <row r="60" spans="8:8" x14ac:dyDescent="0.25">
      <c r="H60" s="8" t="s">
        <v>96</v>
      </c>
    </row>
    <row r="61" spans="8:8" x14ac:dyDescent="0.25">
      <c r="H61" s="8" t="s">
        <v>96</v>
      </c>
    </row>
    <row r="62" spans="8:8" x14ac:dyDescent="0.25">
      <c r="H62" s="8" t="s">
        <v>96</v>
      </c>
    </row>
    <row r="63" spans="8:8" x14ac:dyDescent="0.25">
      <c r="H63" s="8" t="s">
        <v>96</v>
      </c>
    </row>
    <row r="64" spans="8:8" x14ac:dyDescent="0.25">
      <c r="H64" s="8" t="s">
        <v>96</v>
      </c>
    </row>
    <row r="65" spans="8:8" x14ac:dyDescent="0.25">
      <c r="H65" s="8" t="s">
        <v>96</v>
      </c>
    </row>
    <row r="66" spans="8:8" x14ac:dyDescent="0.25">
      <c r="H66" s="8" t="s">
        <v>96</v>
      </c>
    </row>
    <row r="67" spans="8:8" x14ac:dyDescent="0.25">
      <c r="H67" s="8" t="s">
        <v>96</v>
      </c>
    </row>
    <row r="68" spans="8:8" x14ac:dyDescent="0.25">
      <c r="H68" s="8" t="s">
        <v>96</v>
      </c>
    </row>
    <row r="69" spans="8:8" x14ac:dyDescent="0.25">
      <c r="H69" s="8" t="s">
        <v>96</v>
      </c>
    </row>
    <row r="70" spans="8:8" x14ac:dyDescent="0.25">
      <c r="H70" s="8" t="s">
        <v>96</v>
      </c>
    </row>
    <row r="71" spans="8:8" x14ac:dyDescent="0.25">
      <c r="H71" s="8" t="s">
        <v>96</v>
      </c>
    </row>
    <row r="72" spans="8:8" x14ac:dyDescent="0.25">
      <c r="H72" s="8" t="s">
        <v>96</v>
      </c>
    </row>
    <row r="73" spans="8:8" x14ac:dyDescent="0.25">
      <c r="H73" s="8" t="s">
        <v>96</v>
      </c>
    </row>
    <row r="74" spans="8:8" x14ac:dyDescent="0.25">
      <c r="H74" s="8" t="s">
        <v>96</v>
      </c>
    </row>
    <row r="75" spans="8:8" x14ac:dyDescent="0.25">
      <c r="H75" s="8" t="s">
        <v>96</v>
      </c>
    </row>
    <row r="76" spans="8:8" x14ac:dyDescent="0.25">
      <c r="H76" s="8" t="s">
        <v>96</v>
      </c>
    </row>
    <row r="77" spans="8:8" x14ac:dyDescent="0.25">
      <c r="H77" s="8" t="s">
        <v>96</v>
      </c>
    </row>
    <row r="78" spans="8:8" x14ac:dyDescent="0.25">
      <c r="H78" s="8" t="s">
        <v>96</v>
      </c>
    </row>
    <row r="79" spans="8:8" x14ac:dyDescent="0.25">
      <c r="H79" s="8" t="s">
        <v>96</v>
      </c>
    </row>
    <row r="80" spans="8:8" x14ac:dyDescent="0.25">
      <c r="H80" s="8" t="s">
        <v>96</v>
      </c>
    </row>
    <row r="81" spans="8:8" x14ac:dyDescent="0.25">
      <c r="H81" s="8" t="s">
        <v>96</v>
      </c>
    </row>
    <row r="82" spans="8:8" x14ac:dyDescent="0.25">
      <c r="H82" s="8" t="s">
        <v>96</v>
      </c>
    </row>
    <row r="83" spans="8:8" x14ac:dyDescent="0.25">
      <c r="H83" s="8" t="s">
        <v>96</v>
      </c>
    </row>
    <row r="84" spans="8:8" x14ac:dyDescent="0.25">
      <c r="H84" s="8" t="s">
        <v>96</v>
      </c>
    </row>
    <row r="85" spans="8:8" x14ac:dyDescent="0.25">
      <c r="H85" s="8" t="s">
        <v>96</v>
      </c>
    </row>
    <row r="86" spans="8:8" x14ac:dyDescent="0.25">
      <c r="H86" s="8" t="s">
        <v>96</v>
      </c>
    </row>
    <row r="87" spans="8:8" x14ac:dyDescent="0.25">
      <c r="H87" s="8" t="s">
        <v>96</v>
      </c>
    </row>
    <row r="88" spans="8:8" x14ac:dyDescent="0.25">
      <c r="H88" s="8" t="s">
        <v>96</v>
      </c>
    </row>
    <row r="89" spans="8:8" x14ac:dyDescent="0.25">
      <c r="H89" s="8" t="s">
        <v>96</v>
      </c>
    </row>
    <row r="90" spans="8:8" x14ac:dyDescent="0.25">
      <c r="H90" s="8" t="s">
        <v>96</v>
      </c>
    </row>
    <row r="91" spans="8:8" x14ac:dyDescent="0.25">
      <c r="H91" s="8" t="s">
        <v>96</v>
      </c>
    </row>
    <row r="92" spans="8:8" x14ac:dyDescent="0.25">
      <c r="H92" s="8" t="s">
        <v>96</v>
      </c>
    </row>
    <row r="93" spans="8:8" x14ac:dyDescent="0.25">
      <c r="H93" s="8" t="s">
        <v>96</v>
      </c>
    </row>
    <row r="94" spans="8:8" x14ac:dyDescent="0.25">
      <c r="H94" s="8" t="s">
        <v>96</v>
      </c>
    </row>
    <row r="95" spans="8:8" x14ac:dyDescent="0.25">
      <c r="H95" s="8" t="s">
        <v>96</v>
      </c>
    </row>
    <row r="96" spans="8:8" x14ac:dyDescent="0.25">
      <c r="H96" s="8" t="s">
        <v>96</v>
      </c>
    </row>
    <row r="97" spans="8:8" x14ac:dyDescent="0.25">
      <c r="H97" s="8" t="s">
        <v>96</v>
      </c>
    </row>
    <row r="98" spans="8:8" x14ac:dyDescent="0.25">
      <c r="H98" s="8" t="s">
        <v>96</v>
      </c>
    </row>
    <row r="99" spans="8:8" x14ac:dyDescent="0.25">
      <c r="H99" s="8" t="s">
        <v>96</v>
      </c>
    </row>
    <row r="100" spans="8:8" x14ac:dyDescent="0.25">
      <c r="H100" s="8" t="s">
        <v>96</v>
      </c>
    </row>
    <row r="101" spans="8:8" x14ac:dyDescent="0.25">
      <c r="H101" s="8" t="s">
        <v>96</v>
      </c>
    </row>
    <row r="102" spans="8:8" x14ac:dyDescent="0.25">
      <c r="H102" s="8" t="s">
        <v>96</v>
      </c>
    </row>
    <row r="103" spans="8:8" x14ac:dyDescent="0.25">
      <c r="H103" s="8" t="s">
        <v>96</v>
      </c>
    </row>
    <row r="104" spans="8:8" x14ac:dyDescent="0.25">
      <c r="H104" s="8" t="s">
        <v>96</v>
      </c>
    </row>
    <row r="105" spans="8:8" x14ac:dyDescent="0.25">
      <c r="H105" s="8" t="s">
        <v>96</v>
      </c>
    </row>
    <row r="106" spans="8:8" x14ac:dyDescent="0.25">
      <c r="H106" s="8" t="s">
        <v>96</v>
      </c>
    </row>
    <row r="107" spans="8:8" x14ac:dyDescent="0.25">
      <c r="H107" s="8" t="s">
        <v>96</v>
      </c>
    </row>
    <row r="108" spans="8:8" x14ac:dyDescent="0.25">
      <c r="H108" s="8" t="s">
        <v>96</v>
      </c>
    </row>
    <row r="109" spans="8:8" x14ac:dyDescent="0.25">
      <c r="H109" s="8" t="s">
        <v>96</v>
      </c>
    </row>
    <row r="110" spans="8:8" x14ac:dyDescent="0.25">
      <c r="H110" s="8" t="s">
        <v>96</v>
      </c>
    </row>
    <row r="111" spans="8:8" x14ac:dyDescent="0.25">
      <c r="H111" s="8" t="s">
        <v>96</v>
      </c>
    </row>
    <row r="112" spans="8:8" x14ac:dyDescent="0.25">
      <c r="H112" s="8" t="s">
        <v>96</v>
      </c>
    </row>
    <row r="113" spans="8:8" x14ac:dyDescent="0.25">
      <c r="H113" s="8" t="s">
        <v>96</v>
      </c>
    </row>
    <row r="114" spans="8:8" x14ac:dyDescent="0.25">
      <c r="H114" s="8" t="s">
        <v>96</v>
      </c>
    </row>
    <row r="115" spans="8:8" x14ac:dyDescent="0.25">
      <c r="H115" s="8" t="s">
        <v>96</v>
      </c>
    </row>
    <row r="116" spans="8:8" x14ac:dyDescent="0.25">
      <c r="H116" s="8" t="s">
        <v>96</v>
      </c>
    </row>
    <row r="117" spans="8:8" x14ac:dyDescent="0.25">
      <c r="H117" s="8" t="s">
        <v>96</v>
      </c>
    </row>
    <row r="118" spans="8:8" x14ac:dyDescent="0.25">
      <c r="H118" s="8" t="s">
        <v>96</v>
      </c>
    </row>
    <row r="119" spans="8:8" x14ac:dyDescent="0.25">
      <c r="H119" s="8" t="s">
        <v>96</v>
      </c>
    </row>
    <row r="120" spans="8:8" x14ac:dyDescent="0.25">
      <c r="H120" s="8" t="s">
        <v>96</v>
      </c>
    </row>
    <row r="121" spans="8:8" x14ac:dyDescent="0.25">
      <c r="H121" s="8" t="s">
        <v>96</v>
      </c>
    </row>
    <row r="122" spans="8:8" x14ac:dyDescent="0.25">
      <c r="H122" s="8" t="s">
        <v>96</v>
      </c>
    </row>
    <row r="123" spans="8:8" x14ac:dyDescent="0.25">
      <c r="H123" s="8" t="s">
        <v>96</v>
      </c>
    </row>
    <row r="124" spans="8:8" x14ac:dyDescent="0.25">
      <c r="H124" s="8" t="s">
        <v>96</v>
      </c>
    </row>
    <row r="125" spans="8:8" x14ac:dyDescent="0.25">
      <c r="H125" s="8" t="s">
        <v>96</v>
      </c>
    </row>
    <row r="126" spans="8:8" x14ac:dyDescent="0.25">
      <c r="H126" s="8" t="s">
        <v>96</v>
      </c>
    </row>
    <row r="127" spans="8:8" x14ac:dyDescent="0.25">
      <c r="H127" s="8" t="s">
        <v>96</v>
      </c>
    </row>
    <row r="128" spans="8:8" x14ac:dyDescent="0.25">
      <c r="H128" s="8" t="s">
        <v>96</v>
      </c>
    </row>
    <row r="129" spans="8:8" x14ac:dyDescent="0.25">
      <c r="H129" s="8" t="s">
        <v>96</v>
      </c>
    </row>
    <row r="130" spans="8:8" x14ac:dyDescent="0.25">
      <c r="H130" s="8" t="s">
        <v>96</v>
      </c>
    </row>
    <row r="131" spans="8:8" x14ac:dyDescent="0.25">
      <c r="H131" s="8" t="s">
        <v>96</v>
      </c>
    </row>
    <row r="132" spans="8:8" x14ac:dyDescent="0.25">
      <c r="H132" s="8" t="s">
        <v>96</v>
      </c>
    </row>
    <row r="133" spans="8:8" x14ac:dyDescent="0.25">
      <c r="H133" s="8" t="s">
        <v>96</v>
      </c>
    </row>
    <row r="134" spans="8:8" x14ac:dyDescent="0.25">
      <c r="H134" s="8" t="s">
        <v>96</v>
      </c>
    </row>
    <row r="135" spans="8:8" x14ac:dyDescent="0.25">
      <c r="H135" s="8" t="s">
        <v>96</v>
      </c>
    </row>
    <row r="136" spans="8:8" x14ac:dyDescent="0.25">
      <c r="H136" s="8" t="s">
        <v>96</v>
      </c>
    </row>
    <row r="137" spans="8:8" x14ac:dyDescent="0.25">
      <c r="H137" s="8" t="s">
        <v>96</v>
      </c>
    </row>
    <row r="138" spans="8:8" x14ac:dyDescent="0.25">
      <c r="H138" s="8" t="s">
        <v>96</v>
      </c>
    </row>
    <row r="139" spans="8:8" x14ac:dyDescent="0.25">
      <c r="H139" s="8" t="s">
        <v>96</v>
      </c>
    </row>
    <row r="140" spans="8:8" x14ac:dyDescent="0.25">
      <c r="H140" s="8" t="s">
        <v>96</v>
      </c>
    </row>
    <row r="141" spans="8:8" x14ac:dyDescent="0.25">
      <c r="H141" s="8" t="s">
        <v>96</v>
      </c>
    </row>
    <row r="142" spans="8:8" x14ac:dyDescent="0.25">
      <c r="H142" s="8" t="s">
        <v>96</v>
      </c>
    </row>
    <row r="143" spans="8:8" x14ac:dyDescent="0.25">
      <c r="H143" s="8" t="s">
        <v>96</v>
      </c>
    </row>
    <row r="144" spans="8:8" x14ac:dyDescent="0.25">
      <c r="H144" s="8" t="s">
        <v>96</v>
      </c>
    </row>
    <row r="145" spans="8:8" x14ac:dyDescent="0.25">
      <c r="H145" s="8" t="s">
        <v>96</v>
      </c>
    </row>
    <row r="146" spans="8:8" x14ac:dyDescent="0.25">
      <c r="H146" s="8" t="s">
        <v>96</v>
      </c>
    </row>
    <row r="147" spans="8:8" x14ac:dyDescent="0.25">
      <c r="H147" s="8" t="s">
        <v>96</v>
      </c>
    </row>
    <row r="148" spans="8:8" x14ac:dyDescent="0.25">
      <c r="H148" s="8" t="s">
        <v>96</v>
      </c>
    </row>
    <row r="149" spans="8:8" x14ac:dyDescent="0.25">
      <c r="H149" s="8" t="s">
        <v>96</v>
      </c>
    </row>
    <row r="150" spans="8:8" x14ac:dyDescent="0.25">
      <c r="H150" s="8" t="s">
        <v>96</v>
      </c>
    </row>
    <row r="151" spans="8:8" x14ac:dyDescent="0.25">
      <c r="H151" s="8" t="s">
        <v>96</v>
      </c>
    </row>
    <row r="152" spans="8:8" x14ac:dyDescent="0.25">
      <c r="H152" s="8" t="s">
        <v>96</v>
      </c>
    </row>
    <row r="153" spans="8:8" x14ac:dyDescent="0.25">
      <c r="H153" s="8" t="s">
        <v>96</v>
      </c>
    </row>
    <row r="154" spans="8:8" x14ac:dyDescent="0.25">
      <c r="H154" s="8" t="s">
        <v>96</v>
      </c>
    </row>
    <row r="155" spans="8:8" x14ac:dyDescent="0.25">
      <c r="H155" s="8" t="s">
        <v>96</v>
      </c>
    </row>
    <row r="156" spans="8:8" x14ac:dyDescent="0.25">
      <c r="H156" s="8" t="s">
        <v>96</v>
      </c>
    </row>
    <row r="157" spans="8:8" x14ac:dyDescent="0.25">
      <c r="H157" s="8" t="s">
        <v>96</v>
      </c>
    </row>
    <row r="158" spans="8:8" x14ac:dyDescent="0.25">
      <c r="H158" s="8" t="s">
        <v>96</v>
      </c>
    </row>
    <row r="159" spans="8:8" x14ac:dyDescent="0.25">
      <c r="H159" s="8" t="s">
        <v>96</v>
      </c>
    </row>
    <row r="160" spans="8:8" x14ac:dyDescent="0.25">
      <c r="H160" s="8" t="s">
        <v>96</v>
      </c>
    </row>
    <row r="161" spans="8:8" x14ac:dyDescent="0.25">
      <c r="H161" s="8" t="s">
        <v>96</v>
      </c>
    </row>
    <row r="162" spans="8:8" x14ac:dyDescent="0.25">
      <c r="H162" s="8" t="s">
        <v>96</v>
      </c>
    </row>
    <row r="163" spans="8:8" x14ac:dyDescent="0.25">
      <c r="H163" s="8" t="s">
        <v>96</v>
      </c>
    </row>
    <row r="164" spans="8:8" x14ac:dyDescent="0.25">
      <c r="H164" s="8" t="s">
        <v>96</v>
      </c>
    </row>
    <row r="165" spans="8:8" x14ac:dyDescent="0.25">
      <c r="H165" s="8" t="s">
        <v>96</v>
      </c>
    </row>
    <row r="166" spans="8:8" x14ac:dyDescent="0.25">
      <c r="H166" s="8" t="s">
        <v>96</v>
      </c>
    </row>
    <row r="167" spans="8:8" x14ac:dyDescent="0.25">
      <c r="H167" s="8" t="s">
        <v>96</v>
      </c>
    </row>
    <row r="168" spans="8:8" x14ac:dyDescent="0.25">
      <c r="H168" s="8" t="s">
        <v>96</v>
      </c>
    </row>
    <row r="169" spans="8:8" x14ac:dyDescent="0.25">
      <c r="H169" s="8" t="s">
        <v>96</v>
      </c>
    </row>
    <row r="170" spans="8:8" x14ac:dyDescent="0.25">
      <c r="H170" s="8" t="s">
        <v>96</v>
      </c>
    </row>
    <row r="171" spans="8:8" x14ac:dyDescent="0.25">
      <c r="H171" s="8" t="s">
        <v>96</v>
      </c>
    </row>
    <row r="172" spans="8:8" x14ac:dyDescent="0.25">
      <c r="H172" s="8" t="s">
        <v>96</v>
      </c>
    </row>
    <row r="173" spans="8:8" x14ac:dyDescent="0.25">
      <c r="H173" s="8" t="s">
        <v>96</v>
      </c>
    </row>
    <row r="174" spans="8:8" x14ac:dyDescent="0.25">
      <c r="H174" s="8" t="s">
        <v>96</v>
      </c>
    </row>
    <row r="175" spans="8:8" x14ac:dyDescent="0.25">
      <c r="H175" s="8" t="s">
        <v>96</v>
      </c>
    </row>
    <row r="176" spans="8:8" x14ac:dyDescent="0.25">
      <c r="H176" s="8" t="s">
        <v>96</v>
      </c>
    </row>
    <row r="177" spans="8:8" x14ac:dyDescent="0.25">
      <c r="H177" s="8" t="s">
        <v>96</v>
      </c>
    </row>
    <row r="178" spans="8:8" x14ac:dyDescent="0.25">
      <c r="H178" s="8" t="s">
        <v>96</v>
      </c>
    </row>
    <row r="179" spans="8:8" x14ac:dyDescent="0.25">
      <c r="H179" s="8" t="s">
        <v>96</v>
      </c>
    </row>
    <row r="180" spans="8:8" x14ac:dyDescent="0.25">
      <c r="H180" s="8" t="s">
        <v>96</v>
      </c>
    </row>
    <row r="181" spans="8:8" x14ac:dyDescent="0.25">
      <c r="H181" s="8" t="s">
        <v>96</v>
      </c>
    </row>
    <row r="182" spans="8:8" x14ac:dyDescent="0.25">
      <c r="H182" s="8" t="s">
        <v>96</v>
      </c>
    </row>
    <row r="183" spans="8:8" x14ac:dyDescent="0.25">
      <c r="H183" s="8" t="s">
        <v>96</v>
      </c>
    </row>
    <row r="184" spans="8:8" x14ac:dyDescent="0.25">
      <c r="H184" s="8" t="s">
        <v>96</v>
      </c>
    </row>
    <row r="185" spans="8:8" x14ac:dyDescent="0.25">
      <c r="H185" s="8" t="s">
        <v>96</v>
      </c>
    </row>
    <row r="186" spans="8:8" x14ac:dyDescent="0.25">
      <c r="H186" s="8" t="s">
        <v>96</v>
      </c>
    </row>
    <row r="187" spans="8:8" x14ac:dyDescent="0.25">
      <c r="H187" s="8" t="s">
        <v>96</v>
      </c>
    </row>
    <row r="188" spans="8:8" x14ac:dyDescent="0.25">
      <c r="H188" s="8" t="s">
        <v>96</v>
      </c>
    </row>
    <row r="189" spans="8:8" x14ac:dyDescent="0.25">
      <c r="H189" s="8" t="s">
        <v>96</v>
      </c>
    </row>
    <row r="190" spans="8:8" x14ac:dyDescent="0.25">
      <c r="H190" s="8" t="s">
        <v>96</v>
      </c>
    </row>
    <row r="191" spans="8:8" x14ac:dyDescent="0.25">
      <c r="H191" s="8" t="s">
        <v>96</v>
      </c>
    </row>
    <row r="192" spans="8:8" x14ac:dyDescent="0.25">
      <c r="H192" s="8" t="s">
        <v>96</v>
      </c>
    </row>
    <row r="193" spans="8:8" x14ac:dyDescent="0.25">
      <c r="H193" s="8" t="s">
        <v>96</v>
      </c>
    </row>
    <row r="194" spans="8:8" x14ac:dyDescent="0.25">
      <c r="H194" s="8" t="s">
        <v>96</v>
      </c>
    </row>
    <row r="195" spans="8:8" x14ac:dyDescent="0.25">
      <c r="H195" s="8" t="s">
        <v>96</v>
      </c>
    </row>
    <row r="196" spans="8:8" x14ac:dyDescent="0.25">
      <c r="H196" s="8" t="s">
        <v>96</v>
      </c>
    </row>
    <row r="197" spans="8:8" x14ac:dyDescent="0.25">
      <c r="H197" s="8" t="s">
        <v>96</v>
      </c>
    </row>
    <row r="198" spans="8:8" x14ac:dyDescent="0.25">
      <c r="H198" s="8" t="s">
        <v>96</v>
      </c>
    </row>
    <row r="199" spans="8:8" x14ac:dyDescent="0.25">
      <c r="H199" s="8" t="s">
        <v>96</v>
      </c>
    </row>
    <row r="200" spans="8:8" x14ac:dyDescent="0.25">
      <c r="H200" s="8" t="s">
        <v>96</v>
      </c>
    </row>
    <row r="201" spans="8:8" x14ac:dyDescent="0.25">
      <c r="H201" s="8" t="s">
        <v>96</v>
      </c>
    </row>
    <row r="202" spans="8:8" x14ac:dyDescent="0.25">
      <c r="H202" s="8" t="s">
        <v>96</v>
      </c>
    </row>
    <row r="203" spans="8:8" x14ac:dyDescent="0.25">
      <c r="H203" s="8" t="s">
        <v>96</v>
      </c>
    </row>
    <row r="204" spans="8:8" x14ac:dyDescent="0.25">
      <c r="H204" s="8" t="s">
        <v>96</v>
      </c>
    </row>
    <row r="205" spans="8:8" x14ac:dyDescent="0.25">
      <c r="H205" s="8" t="s">
        <v>96</v>
      </c>
    </row>
    <row r="206" spans="8:8" x14ac:dyDescent="0.25">
      <c r="H206" s="8" t="s">
        <v>96</v>
      </c>
    </row>
    <row r="207" spans="8:8" x14ac:dyDescent="0.25">
      <c r="H207" s="8" t="s">
        <v>96</v>
      </c>
    </row>
    <row r="208" spans="8:8" x14ac:dyDescent="0.25">
      <c r="H208" s="8" t="s">
        <v>96</v>
      </c>
    </row>
    <row r="209" spans="8:8" x14ac:dyDescent="0.25">
      <c r="H209" s="8" t="s">
        <v>96</v>
      </c>
    </row>
    <row r="210" spans="8:8" x14ac:dyDescent="0.25">
      <c r="H210" s="8" t="s">
        <v>96</v>
      </c>
    </row>
    <row r="211" spans="8:8" x14ac:dyDescent="0.25">
      <c r="H211" s="8" t="s">
        <v>96</v>
      </c>
    </row>
    <row r="212" spans="8:8" x14ac:dyDescent="0.25">
      <c r="H212" s="8" t="s">
        <v>96</v>
      </c>
    </row>
    <row r="213" spans="8:8" x14ac:dyDescent="0.25">
      <c r="H213" s="8" t="s">
        <v>96</v>
      </c>
    </row>
    <row r="214" spans="8:8" x14ac:dyDescent="0.25">
      <c r="H214" s="8" t="s">
        <v>96</v>
      </c>
    </row>
    <row r="215" spans="8:8" x14ac:dyDescent="0.25">
      <c r="H215" s="8" t="s">
        <v>96</v>
      </c>
    </row>
    <row r="216" spans="8:8" x14ac:dyDescent="0.25">
      <c r="H216" s="8" t="s">
        <v>96</v>
      </c>
    </row>
    <row r="217" spans="8:8" x14ac:dyDescent="0.25">
      <c r="H217" s="8" t="s">
        <v>96</v>
      </c>
    </row>
    <row r="218" spans="8:8" x14ac:dyDescent="0.25">
      <c r="H218" s="8" t="s">
        <v>96</v>
      </c>
    </row>
    <row r="219" spans="8:8" x14ac:dyDescent="0.25">
      <c r="H219" s="8" t="s">
        <v>96</v>
      </c>
    </row>
    <row r="220" spans="8:8" x14ac:dyDescent="0.25">
      <c r="H220" s="8" t="s">
        <v>96</v>
      </c>
    </row>
    <row r="221" spans="8:8" x14ac:dyDescent="0.25">
      <c r="H221" s="8" t="s">
        <v>96</v>
      </c>
    </row>
    <row r="222" spans="8:8" x14ac:dyDescent="0.25">
      <c r="H222" s="8" t="s">
        <v>96</v>
      </c>
    </row>
    <row r="223" spans="8:8" x14ac:dyDescent="0.25">
      <c r="H223" s="8" t="s">
        <v>96</v>
      </c>
    </row>
    <row r="224" spans="8:8" x14ac:dyDescent="0.25">
      <c r="H224" s="8" t="s">
        <v>96</v>
      </c>
    </row>
    <row r="225" spans="8:8" x14ac:dyDescent="0.25">
      <c r="H225" s="8" t="s">
        <v>96</v>
      </c>
    </row>
    <row r="226" spans="8:8" x14ac:dyDescent="0.25">
      <c r="H226" s="8" t="s">
        <v>96</v>
      </c>
    </row>
    <row r="227" spans="8:8" x14ac:dyDescent="0.25">
      <c r="H227" s="8" t="s">
        <v>96</v>
      </c>
    </row>
    <row r="228" spans="8:8" x14ac:dyDescent="0.25">
      <c r="H228" s="8" t="s">
        <v>96</v>
      </c>
    </row>
    <row r="229" spans="8:8" x14ac:dyDescent="0.25">
      <c r="H229" s="8" t="s">
        <v>96</v>
      </c>
    </row>
    <row r="230" spans="8:8" x14ac:dyDescent="0.25">
      <c r="H230" s="8" t="s">
        <v>96</v>
      </c>
    </row>
    <row r="231" spans="8:8" x14ac:dyDescent="0.25">
      <c r="H231" s="8" t="s">
        <v>96</v>
      </c>
    </row>
    <row r="232" spans="8:8" x14ac:dyDescent="0.25">
      <c r="H232" s="8"/>
    </row>
    <row r="233" spans="8:8" x14ac:dyDescent="0.25">
      <c r="H233" s="8"/>
    </row>
    <row r="234" spans="8:8" x14ac:dyDescent="0.25">
      <c r="H234" s="8"/>
    </row>
    <row r="235" spans="8:8" x14ac:dyDescent="0.25">
      <c r="H235" s="8"/>
    </row>
    <row r="236" spans="8:8" x14ac:dyDescent="0.25">
      <c r="H236" s="8"/>
    </row>
    <row r="237" spans="8:8" x14ac:dyDescent="0.25">
      <c r="H237" s="8"/>
    </row>
    <row r="238" spans="8:8" x14ac:dyDescent="0.25">
      <c r="H238" s="8"/>
    </row>
    <row r="239" spans="8:8" x14ac:dyDescent="0.25">
      <c r="H239" s="8"/>
    </row>
    <row r="240" spans="8:8" x14ac:dyDescent="0.25">
      <c r="H240" s="8"/>
    </row>
    <row r="241" spans="8:8" x14ac:dyDescent="0.25">
      <c r="H241" s="8"/>
    </row>
    <row r="242" spans="8:8" x14ac:dyDescent="0.25">
      <c r="H242" s="8"/>
    </row>
    <row r="243" spans="8:8" x14ac:dyDescent="0.25">
      <c r="H243" s="8"/>
    </row>
    <row r="244" spans="8:8" x14ac:dyDescent="0.25">
      <c r="H244" s="8"/>
    </row>
    <row r="245" spans="8:8" x14ac:dyDescent="0.25">
      <c r="H245" s="8"/>
    </row>
    <row r="246" spans="8:8" x14ac:dyDescent="0.25">
      <c r="H246" s="8"/>
    </row>
    <row r="247" spans="8:8" x14ac:dyDescent="0.25">
      <c r="H247" s="8"/>
    </row>
    <row r="248" spans="8:8" x14ac:dyDescent="0.25">
      <c r="H248" s="8"/>
    </row>
    <row r="249" spans="8:8" x14ac:dyDescent="0.25">
      <c r="H249" s="8"/>
    </row>
    <row r="250" spans="8:8" x14ac:dyDescent="0.25">
      <c r="H250" s="8"/>
    </row>
    <row r="251" spans="8:8" x14ac:dyDescent="0.25">
      <c r="H251" s="8"/>
    </row>
    <row r="252" spans="8:8" x14ac:dyDescent="0.25">
      <c r="H252" s="8"/>
    </row>
    <row r="253" spans="8:8" x14ac:dyDescent="0.25">
      <c r="H253" s="8"/>
    </row>
    <row r="254" spans="8:8" x14ac:dyDescent="0.25">
      <c r="H254" s="8"/>
    </row>
    <row r="255" spans="8:8" x14ac:dyDescent="0.25">
      <c r="H255" s="8"/>
    </row>
    <row r="256" spans="8:8" x14ac:dyDescent="0.25">
      <c r="H256" s="8"/>
    </row>
    <row r="257" spans="8:8" x14ac:dyDescent="0.25">
      <c r="H257" s="8"/>
    </row>
    <row r="258" spans="8:8" x14ac:dyDescent="0.25">
      <c r="H258" s="8"/>
    </row>
    <row r="259" spans="8:8" x14ac:dyDescent="0.25">
      <c r="H259" s="8"/>
    </row>
    <row r="260" spans="8:8" x14ac:dyDescent="0.25">
      <c r="H260" s="8"/>
    </row>
    <row r="261" spans="8:8" x14ac:dyDescent="0.25">
      <c r="H261" s="8"/>
    </row>
    <row r="262" spans="8:8" x14ac:dyDescent="0.25">
      <c r="H262" s="8"/>
    </row>
    <row r="263" spans="8:8" x14ac:dyDescent="0.25">
      <c r="H263" s="8"/>
    </row>
    <row r="264" spans="8:8" x14ac:dyDescent="0.25">
      <c r="H264" s="8"/>
    </row>
    <row r="265" spans="8:8" x14ac:dyDescent="0.25">
      <c r="H265" s="8"/>
    </row>
    <row r="266" spans="8:8" x14ac:dyDescent="0.25">
      <c r="H266" s="8"/>
    </row>
    <row r="267" spans="8:8" x14ac:dyDescent="0.25">
      <c r="H267" s="8"/>
    </row>
    <row r="268" spans="8:8" x14ac:dyDescent="0.25">
      <c r="H268" s="8"/>
    </row>
    <row r="269" spans="8:8" x14ac:dyDescent="0.25">
      <c r="H269" s="8"/>
    </row>
    <row r="270" spans="8:8" x14ac:dyDescent="0.25">
      <c r="H270" s="8"/>
    </row>
    <row r="271" spans="8:8" x14ac:dyDescent="0.25">
      <c r="H271" s="8"/>
    </row>
    <row r="272" spans="8:8" x14ac:dyDescent="0.25">
      <c r="H272" s="8"/>
    </row>
    <row r="273" spans="8:8" x14ac:dyDescent="0.25">
      <c r="H273" s="8"/>
    </row>
    <row r="274" spans="8:8" x14ac:dyDescent="0.25">
      <c r="H274" s="8"/>
    </row>
    <row r="275" spans="8:8" x14ac:dyDescent="0.25">
      <c r="H275" s="8"/>
    </row>
    <row r="276" spans="8:8" x14ac:dyDescent="0.25">
      <c r="H276" s="8"/>
    </row>
    <row r="277" spans="8:8" x14ac:dyDescent="0.25">
      <c r="H277" s="8"/>
    </row>
    <row r="278" spans="8:8" x14ac:dyDescent="0.25">
      <c r="H278" s="8"/>
    </row>
    <row r="279" spans="8:8" x14ac:dyDescent="0.25">
      <c r="H279" s="8"/>
    </row>
    <row r="280" spans="8:8" x14ac:dyDescent="0.25">
      <c r="H280" s="8"/>
    </row>
    <row r="281" spans="8:8" x14ac:dyDescent="0.25">
      <c r="H281" s="8"/>
    </row>
    <row r="282" spans="8:8" x14ac:dyDescent="0.25">
      <c r="H282" s="8"/>
    </row>
    <row r="283" spans="8:8" x14ac:dyDescent="0.25">
      <c r="H283" s="8"/>
    </row>
    <row r="284" spans="8:8" x14ac:dyDescent="0.25">
      <c r="H284" s="8"/>
    </row>
    <row r="285" spans="8:8" x14ac:dyDescent="0.25">
      <c r="H285" s="8"/>
    </row>
    <row r="286" spans="8:8" x14ac:dyDescent="0.25">
      <c r="H286" s="8"/>
    </row>
    <row r="287" spans="8:8" x14ac:dyDescent="0.25">
      <c r="H287" s="8"/>
    </row>
    <row r="288" spans="8:8" x14ac:dyDescent="0.25">
      <c r="H288" s="8"/>
    </row>
    <row r="289" spans="8:8" x14ac:dyDescent="0.25">
      <c r="H289" s="8"/>
    </row>
    <row r="290" spans="8:8" x14ac:dyDescent="0.25">
      <c r="H290" s="8"/>
    </row>
    <row r="291" spans="8:8" x14ac:dyDescent="0.25">
      <c r="H291" s="8"/>
    </row>
    <row r="292" spans="8:8" x14ac:dyDescent="0.25">
      <c r="H292" s="8"/>
    </row>
    <row r="293" spans="8:8" x14ac:dyDescent="0.25">
      <c r="H293" s="8"/>
    </row>
    <row r="294" spans="8:8" x14ac:dyDescent="0.25">
      <c r="H294" s="8"/>
    </row>
    <row r="295" spans="8:8" x14ac:dyDescent="0.25">
      <c r="H295" s="8"/>
    </row>
    <row r="296" spans="8:8" x14ac:dyDescent="0.25">
      <c r="H296" s="8"/>
    </row>
    <row r="297" spans="8:8" x14ac:dyDescent="0.25">
      <c r="H297" s="8"/>
    </row>
    <row r="298" spans="8:8" x14ac:dyDescent="0.25">
      <c r="H298" s="8"/>
    </row>
    <row r="299" spans="8:8" x14ac:dyDescent="0.25">
      <c r="H299" s="8"/>
    </row>
    <row r="300" spans="8:8" x14ac:dyDescent="0.25">
      <c r="H300" s="8"/>
    </row>
    <row r="301" spans="8:8" x14ac:dyDescent="0.25">
      <c r="H301" s="8"/>
    </row>
    <row r="302" spans="8:8" x14ac:dyDescent="0.25">
      <c r="H302" s="8"/>
    </row>
    <row r="303" spans="8:8" x14ac:dyDescent="0.25">
      <c r="H303" s="8"/>
    </row>
    <row r="304" spans="8:8" x14ac:dyDescent="0.25">
      <c r="H304" s="8"/>
    </row>
    <row r="305" spans="8:8" x14ac:dyDescent="0.25">
      <c r="H305" s="8"/>
    </row>
    <row r="306" spans="8:8" x14ac:dyDescent="0.25">
      <c r="H306" s="8"/>
    </row>
    <row r="307" spans="8:8" x14ac:dyDescent="0.25">
      <c r="H307" s="8"/>
    </row>
    <row r="308" spans="8:8" x14ac:dyDescent="0.25">
      <c r="H308" s="8"/>
    </row>
    <row r="309" spans="8:8" x14ac:dyDescent="0.25">
      <c r="H309" s="8"/>
    </row>
    <row r="310" spans="8:8" x14ac:dyDescent="0.25">
      <c r="H310" s="8"/>
    </row>
    <row r="311" spans="8:8" x14ac:dyDescent="0.25">
      <c r="H311" s="8"/>
    </row>
    <row r="312" spans="8:8" x14ac:dyDescent="0.25">
      <c r="H312" s="8"/>
    </row>
    <row r="313" spans="8:8" x14ac:dyDescent="0.25">
      <c r="H313" s="8"/>
    </row>
    <row r="314" spans="8:8" x14ac:dyDescent="0.25">
      <c r="H314" s="8"/>
    </row>
    <row r="315" spans="8:8" x14ac:dyDescent="0.25">
      <c r="H315" s="8"/>
    </row>
    <row r="316" spans="8:8" x14ac:dyDescent="0.25">
      <c r="H316" s="8"/>
    </row>
    <row r="317" spans="8:8" x14ac:dyDescent="0.25">
      <c r="H317" s="8"/>
    </row>
    <row r="318" spans="8:8" x14ac:dyDescent="0.25">
      <c r="H318" s="8"/>
    </row>
    <row r="319" spans="8:8" x14ac:dyDescent="0.25">
      <c r="H319" s="8"/>
    </row>
    <row r="320" spans="8:8" x14ac:dyDescent="0.25">
      <c r="H320" s="8"/>
    </row>
    <row r="321" spans="8:8" x14ac:dyDescent="0.25">
      <c r="H321" s="8"/>
    </row>
    <row r="322" spans="8:8" x14ac:dyDescent="0.25">
      <c r="H322" s="8"/>
    </row>
    <row r="323" spans="8:8" x14ac:dyDescent="0.25">
      <c r="H323" s="8"/>
    </row>
    <row r="324" spans="8:8" x14ac:dyDescent="0.25">
      <c r="H324" s="8"/>
    </row>
    <row r="325" spans="8:8" x14ac:dyDescent="0.25">
      <c r="H325" s="8"/>
    </row>
    <row r="326" spans="8:8" x14ac:dyDescent="0.25">
      <c r="H326" s="8"/>
    </row>
    <row r="327" spans="8:8" x14ac:dyDescent="0.25">
      <c r="H327" s="8"/>
    </row>
    <row r="328" spans="8:8" x14ac:dyDescent="0.25">
      <c r="H328" s="8"/>
    </row>
    <row r="329" spans="8:8" x14ac:dyDescent="0.25">
      <c r="H329" s="8"/>
    </row>
    <row r="330" spans="8:8" x14ac:dyDescent="0.25">
      <c r="H330" s="8"/>
    </row>
    <row r="331" spans="8:8" x14ac:dyDescent="0.25">
      <c r="H331" s="8"/>
    </row>
    <row r="332" spans="8:8" x14ac:dyDescent="0.25">
      <c r="H332" s="8"/>
    </row>
    <row r="333" spans="8:8" x14ac:dyDescent="0.25">
      <c r="H333" s="8"/>
    </row>
    <row r="334" spans="8:8" x14ac:dyDescent="0.25">
      <c r="H334" s="8"/>
    </row>
    <row r="335" spans="8:8" x14ac:dyDescent="0.25">
      <c r="H335" s="8"/>
    </row>
    <row r="336" spans="8:8" x14ac:dyDescent="0.25">
      <c r="H336" s="8"/>
    </row>
    <row r="337" spans="8:8" x14ac:dyDescent="0.25">
      <c r="H337" s="8"/>
    </row>
    <row r="338" spans="8:8" x14ac:dyDescent="0.25">
      <c r="H338" s="8"/>
    </row>
    <row r="339" spans="8:8" x14ac:dyDescent="0.25">
      <c r="H339" s="8"/>
    </row>
    <row r="340" spans="8:8" x14ac:dyDescent="0.25">
      <c r="H340" s="8"/>
    </row>
    <row r="341" spans="8:8" x14ac:dyDescent="0.25">
      <c r="H341" s="8"/>
    </row>
    <row r="342" spans="8:8" x14ac:dyDescent="0.25">
      <c r="H342" s="8"/>
    </row>
    <row r="343" spans="8:8" x14ac:dyDescent="0.25">
      <c r="H343" s="8"/>
    </row>
    <row r="344" spans="8:8" x14ac:dyDescent="0.25">
      <c r="H344" s="8"/>
    </row>
    <row r="345" spans="8:8" x14ac:dyDescent="0.25">
      <c r="H345" s="8"/>
    </row>
    <row r="346" spans="8:8" x14ac:dyDescent="0.25">
      <c r="H346" s="8"/>
    </row>
    <row r="347" spans="8:8" x14ac:dyDescent="0.25">
      <c r="H347" s="8"/>
    </row>
    <row r="348" spans="8:8" x14ac:dyDescent="0.25">
      <c r="H348" s="8"/>
    </row>
    <row r="349" spans="8:8" x14ac:dyDescent="0.25">
      <c r="H349" s="8"/>
    </row>
    <row r="350" spans="8:8" x14ac:dyDescent="0.25">
      <c r="H350" s="8"/>
    </row>
    <row r="351" spans="8:8" x14ac:dyDescent="0.25">
      <c r="H351" s="8"/>
    </row>
    <row r="352" spans="8:8" x14ac:dyDescent="0.25">
      <c r="H352" s="8"/>
    </row>
    <row r="353" spans="8:8" x14ac:dyDescent="0.25">
      <c r="H353" s="8"/>
    </row>
    <row r="354" spans="8:8" x14ac:dyDescent="0.25">
      <c r="H354" s="8"/>
    </row>
    <row r="355" spans="8:8" x14ac:dyDescent="0.25">
      <c r="H355" s="8"/>
    </row>
    <row r="356" spans="8:8" x14ac:dyDescent="0.25">
      <c r="H356" s="8"/>
    </row>
    <row r="357" spans="8:8" x14ac:dyDescent="0.25">
      <c r="H357" s="8"/>
    </row>
    <row r="358" spans="8:8" x14ac:dyDescent="0.25">
      <c r="H358" s="8"/>
    </row>
    <row r="359" spans="8:8" x14ac:dyDescent="0.25">
      <c r="H359" s="8"/>
    </row>
    <row r="360" spans="8:8" x14ac:dyDescent="0.25">
      <c r="H360" s="8"/>
    </row>
    <row r="361" spans="8:8" x14ac:dyDescent="0.25">
      <c r="H361" s="8"/>
    </row>
    <row r="362" spans="8:8" x14ac:dyDescent="0.25">
      <c r="H362" s="8"/>
    </row>
    <row r="363" spans="8:8" x14ac:dyDescent="0.25">
      <c r="H363" s="8"/>
    </row>
    <row r="364" spans="8:8" x14ac:dyDescent="0.25">
      <c r="H364" s="8"/>
    </row>
    <row r="365" spans="8:8" x14ac:dyDescent="0.25">
      <c r="H365" s="8"/>
    </row>
    <row r="366" spans="8:8" x14ac:dyDescent="0.25">
      <c r="H366" s="8"/>
    </row>
    <row r="367" spans="8:8" x14ac:dyDescent="0.25">
      <c r="H367" s="8"/>
    </row>
    <row r="368" spans="8:8" x14ac:dyDescent="0.25">
      <c r="H368" s="8"/>
    </row>
    <row r="369" spans="8:8" x14ac:dyDescent="0.25">
      <c r="H369" s="8"/>
    </row>
    <row r="370" spans="8:8" x14ac:dyDescent="0.25">
      <c r="H370" s="8"/>
    </row>
    <row r="371" spans="8:8" x14ac:dyDescent="0.25">
      <c r="H371" s="8"/>
    </row>
    <row r="372" spans="8:8" x14ac:dyDescent="0.25">
      <c r="H372" s="8"/>
    </row>
    <row r="373" spans="8:8" x14ac:dyDescent="0.25">
      <c r="H373" s="8"/>
    </row>
    <row r="374" spans="8:8" x14ac:dyDescent="0.25">
      <c r="H374" s="8"/>
    </row>
    <row r="375" spans="8:8" x14ac:dyDescent="0.25">
      <c r="H375" s="8"/>
    </row>
    <row r="376" spans="8:8" x14ac:dyDescent="0.25">
      <c r="H376" s="8"/>
    </row>
    <row r="377" spans="8:8" x14ac:dyDescent="0.25">
      <c r="H377" s="8"/>
    </row>
    <row r="378" spans="8:8" x14ac:dyDescent="0.25">
      <c r="H378" s="8"/>
    </row>
    <row r="379" spans="8:8" x14ac:dyDescent="0.25">
      <c r="H379" s="8"/>
    </row>
    <row r="380" spans="8:8" x14ac:dyDescent="0.25">
      <c r="H380" s="8"/>
    </row>
    <row r="381" spans="8:8" x14ac:dyDescent="0.25">
      <c r="H381" s="8"/>
    </row>
    <row r="382" spans="8:8" x14ac:dyDescent="0.25">
      <c r="H382" s="8"/>
    </row>
    <row r="383" spans="8:8" x14ac:dyDescent="0.25">
      <c r="H383" s="8"/>
    </row>
    <row r="384" spans="8:8" x14ac:dyDescent="0.25">
      <c r="H384" s="8"/>
    </row>
    <row r="385" spans="8:8" x14ac:dyDescent="0.25">
      <c r="H385" s="8"/>
    </row>
    <row r="386" spans="8:8" x14ac:dyDescent="0.25">
      <c r="H386" s="8"/>
    </row>
    <row r="387" spans="8:8" x14ac:dyDescent="0.25">
      <c r="H387" s="8"/>
    </row>
    <row r="388" spans="8:8" x14ac:dyDescent="0.25">
      <c r="H388" s="8"/>
    </row>
    <row r="389" spans="8:8" x14ac:dyDescent="0.25">
      <c r="H389" s="8"/>
    </row>
    <row r="390" spans="8:8" x14ac:dyDescent="0.25">
      <c r="H390" s="8"/>
    </row>
    <row r="391" spans="8:8" x14ac:dyDescent="0.25">
      <c r="H391" s="8"/>
    </row>
    <row r="392" spans="8:8" x14ac:dyDescent="0.25">
      <c r="H392" s="8"/>
    </row>
    <row r="393" spans="8:8" x14ac:dyDescent="0.25">
      <c r="H393" s="8"/>
    </row>
    <row r="394" spans="8:8" x14ac:dyDescent="0.25">
      <c r="H394" s="8"/>
    </row>
    <row r="395" spans="8:8" x14ac:dyDescent="0.25">
      <c r="H395" s="8"/>
    </row>
    <row r="396" spans="8:8" x14ac:dyDescent="0.25">
      <c r="H396" s="8"/>
    </row>
    <row r="397" spans="8:8" x14ac:dyDescent="0.25">
      <c r="H397" s="8"/>
    </row>
    <row r="398" spans="8:8" x14ac:dyDescent="0.25">
      <c r="H398" s="8"/>
    </row>
    <row r="399" spans="8:8" x14ac:dyDescent="0.25">
      <c r="H399" s="8"/>
    </row>
    <row r="400" spans="8:8" x14ac:dyDescent="0.25">
      <c r="H400" s="8"/>
    </row>
    <row r="401" spans="8:8" x14ac:dyDescent="0.25">
      <c r="H401" s="8"/>
    </row>
    <row r="402" spans="8:8" x14ac:dyDescent="0.25">
      <c r="H402" s="8"/>
    </row>
    <row r="403" spans="8:8" x14ac:dyDescent="0.25">
      <c r="H403" s="8"/>
    </row>
    <row r="404" spans="8:8" x14ac:dyDescent="0.25">
      <c r="H404" s="8"/>
    </row>
    <row r="405" spans="8:8" x14ac:dyDescent="0.25">
      <c r="H405" s="8"/>
    </row>
    <row r="406" spans="8:8" x14ac:dyDescent="0.25">
      <c r="H406" s="8"/>
    </row>
    <row r="407" spans="8:8" x14ac:dyDescent="0.25">
      <c r="H407" s="8"/>
    </row>
    <row r="408" spans="8:8" x14ac:dyDescent="0.25">
      <c r="H408" s="8"/>
    </row>
    <row r="409" spans="8:8" x14ac:dyDescent="0.25">
      <c r="H409" s="8"/>
    </row>
    <row r="410" spans="8:8" x14ac:dyDescent="0.25">
      <c r="H410" s="8"/>
    </row>
    <row r="411" spans="8:8" x14ac:dyDescent="0.25">
      <c r="H411" s="8"/>
    </row>
    <row r="412" spans="8:8" x14ac:dyDescent="0.25">
      <c r="H412" s="8"/>
    </row>
    <row r="413" spans="8:8" x14ac:dyDescent="0.25">
      <c r="H413" s="8"/>
    </row>
    <row r="414" spans="8:8" x14ac:dyDescent="0.25">
      <c r="H414" s="8"/>
    </row>
    <row r="415" spans="8:8" x14ac:dyDescent="0.25">
      <c r="H415" s="8"/>
    </row>
    <row r="416" spans="8:8" x14ac:dyDescent="0.25">
      <c r="H416" s="8"/>
    </row>
    <row r="417" spans="8:8" x14ac:dyDescent="0.25">
      <c r="H417" s="8"/>
    </row>
    <row r="418" spans="8:8" x14ac:dyDescent="0.25">
      <c r="H418" s="8"/>
    </row>
    <row r="419" spans="8:8" x14ac:dyDescent="0.25">
      <c r="H419" s="8"/>
    </row>
    <row r="420" spans="8:8" x14ac:dyDescent="0.25">
      <c r="H420" s="8"/>
    </row>
    <row r="421" spans="8:8" x14ac:dyDescent="0.25">
      <c r="H421" s="8"/>
    </row>
    <row r="422" spans="8:8" x14ac:dyDescent="0.25">
      <c r="H422" s="8"/>
    </row>
    <row r="423" spans="8:8" x14ac:dyDescent="0.25">
      <c r="H423" s="8"/>
    </row>
    <row r="424" spans="8:8" x14ac:dyDescent="0.25">
      <c r="H424" s="8"/>
    </row>
    <row r="425" spans="8:8" x14ac:dyDescent="0.25">
      <c r="H425" s="8"/>
    </row>
    <row r="426" spans="8:8" x14ac:dyDescent="0.25">
      <c r="H426" s="8"/>
    </row>
    <row r="427" spans="8:8" x14ac:dyDescent="0.25">
      <c r="H427" s="8"/>
    </row>
    <row r="428" spans="8:8" x14ac:dyDescent="0.25">
      <c r="H428" s="8"/>
    </row>
    <row r="429" spans="8:8" x14ac:dyDescent="0.25">
      <c r="H429" s="8"/>
    </row>
    <row r="430" spans="8:8" x14ac:dyDescent="0.25">
      <c r="H430" s="8"/>
    </row>
    <row r="431" spans="8:8" x14ac:dyDescent="0.25">
      <c r="H431" s="8"/>
    </row>
    <row r="432" spans="8:8" x14ac:dyDescent="0.25">
      <c r="H432" s="8"/>
    </row>
    <row r="433" spans="8:8" x14ac:dyDescent="0.25">
      <c r="H433" s="8"/>
    </row>
    <row r="434" spans="8:8" x14ac:dyDescent="0.25">
      <c r="H434" s="8"/>
    </row>
    <row r="435" spans="8:8" x14ac:dyDescent="0.25">
      <c r="H435" s="8"/>
    </row>
    <row r="436" spans="8:8" x14ac:dyDescent="0.25">
      <c r="H436" s="8"/>
    </row>
    <row r="437" spans="8:8" x14ac:dyDescent="0.25">
      <c r="H437" s="8"/>
    </row>
    <row r="438" spans="8:8" x14ac:dyDescent="0.25">
      <c r="H438" s="8"/>
    </row>
    <row r="439" spans="8:8" x14ac:dyDescent="0.25">
      <c r="H439" s="8"/>
    </row>
    <row r="440" spans="8:8" x14ac:dyDescent="0.25">
      <c r="H440" s="8"/>
    </row>
    <row r="441" spans="8:8" x14ac:dyDescent="0.25">
      <c r="H441" s="8"/>
    </row>
    <row r="442" spans="8:8" x14ac:dyDescent="0.25">
      <c r="H442" s="8"/>
    </row>
    <row r="443" spans="8:8" x14ac:dyDescent="0.25">
      <c r="H443" s="8"/>
    </row>
    <row r="444" spans="8:8" x14ac:dyDescent="0.25">
      <c r="H444" s="8"/>
    </row>
    <row r="445" spans="8:8" x14ac:dyDescent="0.25">
      <c r="H445" s="8"/>
    </row>
    <row r="446" spans="8:8" x14ac:dyDescent="0.25">
      <c r="H446" s="8"/>
    </row>
    <row r="447" spans="8:8" x14ac:dyDescent="0.25">
      <c r="H447" s="8"/>
    </row>
    <row r="448" spans="8:8" x14ac:dyDescent="0.25">
      <c r="H448" s="8"/>
    </row>
    <row r="449" spans="8:8" x14ac:dyDescent="0.25">
      <c r="H449" s="8"/>
    </row>
    <row r="450" spans="8:8" x14ac:dyDescent="0.25">
      <c r="H450" s="8"/>
    </row>
    <row r="451" spans="8:8" x14ac:dyDescent="0.25">
      <c r="H451" s="8"/>
    </row>
    <row r="452" spans="8:8" x14ac:dyDescent="0.25">
      <c r="H452" s="8"/>
    </row>
    <row r="453" spans="8:8" x14ac:dyDescent="0.25">
      <c r="H453" s="8"/>
    </row>
    <row r="454" spans="8:8" x14ac:dyDescent="0.25">
      <c r="H454" s="8"/>
    </row>
    <row r="455" spans="8:8" x14ac:dyDescent="0.25">
      <c r="H455" s="8"/>
    </row>
    <row r="456" spans="8:8" x14ac:dyDescent="0.25">
      <c r="H456" s="8"/>
    </row>
    <row r="457" spans="8:8" x14ac:dyDescent="0.25">
      <c r="H457" s="8"/>
    </row>
    <row r="458" spans="8:8" x14ac:dyDescent="0.25">
      <c r="H458" s="8"/>
    </row>
    <row r="459" spans="8:8" x14ac:dyDescent="0.25">
      <c r="H459" s="8"/>
    </row>
    <row r="460" spans="8:8" x14ac:dyDescent="0.25">
      <c r="H460" s="8"/>
    </row>
    <row r="461" spans="8:8" x14ac:dyDescent="0.25">
      <c r="H461" s="8"/>
    </row>
    <row r="462" spans="8:8" x14ac:dyDescent="0.25">
      <c r="H462" s="8"/>
    </row>
    <row r="463" spans="8:8" x14ac:dyDescent="0.25">
      <c r="H463" s="8"/>
    </row>
    <row r="464" spans="8:8" x14ac:dyDescent="0.25">
      <c r="H464" s="8"/>
    </row>
    <row r="465" spans="8:8" x14ac:dyDescent="0.25">
      <c r="H465" s="8"/>
    </row>
    <row r="466" spans="8:8" x14ac:dyDescent="0.25">
      <c r="H466" s="8"/>
    </row>
    <row r="467" spans="8:8" x14ac:dyDescent="0.25">
      <c r="H467" s="8"/>
    </row>
    <row r="468" spans="8:8" x14ac:dyDescent="0.25">
      <c r="H468" s="8"/>
    </row>
    <row r="469" spans="8:8" x14ac:dyDescent="0.25">
      <c r="H469" s="8"/>
    </row>
    <row r="470" spans="8:8" x14ac:dyDescent="0.25">
      <c r="H470" s="8"/>
    </row>
    <row r="471" spans="8:8" x14ac:dyDescent="0.25">
      <c r="H471" s="8"/>
    </row>
    <row r="472" spans="8:8" x14ac:dyDescent="0.25">
      <c r="H472" s="8"/>
    </row>
    <row r="473" spans="8:8" x14ac:dyDescent="0.25">
      <c r="H473" s="8"/>
    </row>
    <row r="474" spans="8:8" x14ac:dyDescent="0.25">
      <c r="H474" s="8"/>
    </row>
    <row r="475" spans="8:8" x14ac:dyDescent="0.25">
      <c r="H475" s="8"/>
    </row>
    <row r="476" spans="8:8" x14ac:dyDescent="0.25">
      <c r="H476" s="8"/>
    </row>
    <row r="477" spans="8:8" x14ac:dyDescent="0.25">
      <c r="H477" s="8"/>
    </row>
    <row r="478" spans="8:8" x14ac:dyDescent="0.25">
      <c r="H478" s="8"/>
    </row>
    <row r="479" spans="8:8" x14ac:dyDescent="0.25">
      <c r="H479" s="8"/>
    </row>
    <row r="480" spans="8:8" x14ac:dyDescent="0.25">
      <c r="H480" s="8"/>
    </row>
    <row r="481" spans="8:8" x14ac:dyDescent="0.25">
      <c r="H481" s="8"/>
    </row>
    <row r="482" spans="8:8" x14ac:dyDescent="0.25">
      <c r="H482" s="8"/>
    </row>
    <row r="483" spans="8:8" x14ac:dyDescent="0.25">
      <c r="H483" s="8"/>
    </row>
    <row r="484" spans="8:8" x14ac:dyDescent="0.25">
      <c r="H484" s="8"/>
    </row>
    <row r="485" spans="8:8" x14ac:dyDescent="0.25">
      <c r="H485" s="8"/>
    </row>
    <row r="486" spans="8:8" x14ac:dyDescent="0.25">
      <c r="H486" s="8"/>
    </row>
    <row r="487" spans="8:8" x14ac:dyDescent="0.25">
      <c r="H487" s="8"/>
    </row>
    <row r="488" spans="8:8" x14ac:dyDescent="0.25">
      <c r="H488" s="8"/>
    </row>
    <row r="489" spans="8:8" x14ac:dyDescent="0.25">
      <c r="H489" s="8"/>
    </row>
    <row r="490" spans="8:8" x14ac:dyDescent="0.25">
      <c r="H490" s="8"/>
    </row>
    <row r="491" spans="8:8" x14ac:dyDescent="0.25">
      <c r="H491" s="8"/>
    </row>
    <row r="492" spans="8:8" x14ac:dyDescent="0.25">
      <c r="H492" s="8"/>
    </row>
    <row r="493" spans="8:8" x14ac:dyDescent="0.25">
      <c r="H493" s="8"/>
    </row>
    <row r="494" spans="8:8" x14ac:dyDescent="0.25">
      <c r="H494" s="8"/>
    </row>
    <row r="495" spans="8:8" x14ac:dyDescent="0.25">
      <c r="H495" s="8"/>
    </row>
    <row r="496" spans="8:8" x14ac:dyDescent="0.25">
      <c r="H496" s="8"/>
    </row>
    <row r="497" spans="8:8" x14ac:dyDescent="0.25">
      <c r="H497" s="8"/>
    </row>
    <row r="498" spans="8:8" x14ac:dyDescent="0.25">
      <c r="H498" s="8"/>
    </row>
    <row r="499" spans="8:8" x14ac:dyDescent="0.25">
      <c r="H499" s="8"/>
    </row>
    <row r="500" spans="8:8" x14ac:dyDescent="0.25">
      <c r="H500" s="8"/>
    </row>
    <row r="501" spans="8:8" x14ac:dyDescent="0.25">
      <c r="H501" s="8"/>
    </row>
    <row r="502" spans="8:8" x14ac:dyDescent="0.25">
      <c r="H502" s="8"/>
    </row>
    <row r="503" spans="8:8" x14ac:dyDescent="0.25">
      <c r="H503" s="8"/>
    </row>
    <row r="504" spans="8:8" x14ac:dyDescent="0.25">
      <c r="H504" s="8"/>
    </row>
    <row r="505" spans="8:8" x14ac:dyDescent="0.25">
      <c r="H505" s="8"/>
    </row>
    <row r="506" spans="8:8" x14ac:dyDescent="0.25">
      <c r="H506" s="8"/>
    </row>
    <row r="507" spans="8:8" x14ac:dyDescent="0.25">
      <c r="H507" s="8"/>
    </row>
    <row r="508" spans="8:8" x14ac:dyDescent="0.25">
      <c r="H508" s="8"/>
    </row>
    <row r="509" spans="8:8" x14ac:dyDescent="0.25">
      <c r="H509" s="8"/>
    </row>
    <row r="510" spans="8:8" x14ac:dyDescent="0.25">
      <c r="H510" s="8"/>
    </row>
    <row r="511" spans="8:8" x14ac:dyDescent="0.25">
      <c r="H511" s="8"/>
    </row>
    <row r="512" spans="8:8" x14ac:dyDescent="0.25">
      <c r="H512" s="8"/>
    </row>
    <row r="513" spans="8:8" x14ac:dyDescent="0.25">
      <c r="H513" s="8"/>
    </row>
    <row r="514" spans="8:8" x14ac:dyDescent="0.25">
      <c r="H514" s="8"/>
    </row>
    <row r="515" spans="8:8" x14ac:dyDescent="0.25">
      <c r="H515" s="8"/>
    </row>
    <row r="516" spans="8:8" x14ac:dyDescent="0.25">
      <c r="H516" s="8"/>
    </row>
    <row r="517" spans="8:8" x14ac:dyDescent="0.25">
      <c r="H517" s="8"/>
    </row>
    <row r="518" spans="8:8" x14ac:dyDescent="0.25">
      <c r="H518" s="8"/>
    </row>
    <row r="519" spans="8:8" x14ac:dyDescent="0.25">
      <c r="H519" s="8"/>
    </row>
    <row r="520" spans="8:8" x14ac:dyDescent="0.25">
      <c r="H520" s="8"/>
    </row>
    <row r="521" spans="8:8" x14ac:dyDescent="0.25">
      <c r="H521" s="8"/>
    </row>
    <row r="522" spans="8:8" x14ac:dyDescent="0.25">
      <c r="H522" s="8"/>
    </row>
    <row r="523" spans="8:8" x14ac:dyDescent="0.25">
      <c r="H523" s="8"/>
    </row>
    <row r="524" spans="8:8" x14ac:dyDescent="0.25">
      <c r="H524" s="8"/>
    </row>
    <row r="525" spans="8:8" x14ac:dyDescent="0.25">
      <c r="H525" s="8"/>
    </row>
    <row r="526" spans="8:8" x14ac:dyDescent="0.25">
      <c r="H526" s="8"/>
    </row>
    <row r="527" spans="8:8" x14ac:dyDescent="0.25">
      <c r="H527" s="8"/>
    </row>
    <row r="528" spans="8:8" x14ac:dyDescent="0.25">
      <c r="H528" s="8"/>
    </row>
    <row r="529" spans="8:8" x14ac:dyDescent="0.25">
      <c r="H529" s="8"/>
    </row>
    <row r="530" spans="8:8" x14ac:dyDescent="0.25">
      <c r="H530" s="8"/>
    </row>
    <row r="531" spans="8:8" x14ac:dyDescent="0.25">
      <c r="H531" s="8"/>
    </row>
    <row r="532" spans="8:8" x14ac:dyDescent="0.25">
      <c r="H532" s="8"/>
    </row>
    <row r="533" spans="8:8" x14ac:dyDescent="0.25">
      <c r="H533" s="8"/>
    </row>
    <row r="534" spans="8:8" x14ac:dyDescent="0.25">
      <c r="H534" s="8"/>
    </row>
    <row r="535" spans="8:8" x14ac:dyDescent="0.25">
      <c r="H535" s="8"/>
    </row>
    <row r="536" spans="8:8" x14ac:dyDescent="0.25">
      <c r="H536" s="8"/>
    </row>
    <row r="537" spans="8:8" x14ac:dyDescent="0.25">
      <c r="H537" s="8"/>
    </row>
    <row r="538" spans="8:8" x14ac:dyDescent="0.25">
      <c r="H538" s="8"/>
    </row>
    <row r="539" spans="8:8" x14ac:dyDescent="0.25">
      <c r="H539" s="8"/>
    </row>
    <row r="540" spans="8:8" x14ac:dyDescent="0.25">
      <c r="H540" s="8"/>
    </row>
    <row r="541" spans="8:8" x14ac:dyDescent="0.25">
      <c r="H541" s="8"/>
    </row>
    <row r="542" spans="8:8" x14ac:dyDescent="0.25">
      <c r="H542" s="8"/>
    </row>
    <row r="543" spans="8:8" x14ac:dyDescent="0.25">
      <c r="H543" s="8"/>
    </row>
    <row r="544" spans="8:8" x14ac:dyDescent="0.25">
      <c r="H544" s="8"/>
    </row>
    <row r="545" spans="8:8" x14ac:dyDescent="0.25">
      <c r="H545" s="8"/>
    </row>
    <row r="546" spans="8:8" x14ac:dyDescent="0.25">
      <c r="H546" s="8"/>
    </row>
    <row r="547" spans="8:8" x14ac:dyDescent="0.25">
      <c r="H547" s="8"/>
    </row>
    <row r="548" spans="8:8" x14ac:dyDescent="0.25">
      <c r="H548" s="8"/>
    </row>
    <row r="549" spans="8:8" x14ac:dyDescent="0.25">
      <c r="H549" s="8"/>
    </row>
    <row r="550" spans="8:8" x14ac:dyDescent="0.25">
      <c r="H550" s="8"/>
    </row>
    <row r="551" spans="8:8" x14ac:dyDescent="0.25">
      <c r="H551" s="8"/>
    </row>
    <row r="552" spans="8:8" x14ac:dyDescent="0.25">
      <c r="H552" s="8"/>
    </row>
    <row r="553" spans="8:8" x14ac:dyDescent="0.25">
      <c r="H553" s="8"/>
    </row>
    <row r="554" spans="8:8" x14ac:dyDescent="0.25">
      <c r="H554" s="8"/>
    </row>
    <row r="555" spans="8:8" x14ac:dyDescent="0.25">
      <c r="H555" s="8"/>
    </row>
    <row r="556" spans="8:8" x14ac:dyDescent="0.25">
      <c r="H556" s="8"/>
    </row>
    <row r="557" spans="8:8" x14ac:dyDescent="0.25">
      <c r="H557" s="8"/>
    </row>
    <row r="558" spans="8:8" x14ac:dyDescent="0.25">
      <c r="H558" s="8"/>
    </row>
    <row r="559" spans="8:8" x14ac:dyDescent="0.25">
      <c r="H559" s="8"/>
    </row>
    <row r="560" spans="8:8" x14ac:dyDescent="0.25">
      <c r="H560" s="8"/>
    </row>
    <row r="561" spans="8:8" x14ac:dyDescent="0.25">
      <c r="H561" s="8"/>
    </row>
    <row r="562" spans="8:8" x14ac:dyDescent="0.25">
      <c r="H562" s="8"/>
    </row>
    <row r="563" spans="8:8" x14ac:dyDescent="0.25">
      <c r="H563" s="8"/>
    </row>
    <row r="564" spans="8:8" x14ac:dyDescent="0.25">
      <c r="H564" s="8"/>
    </row>
    <row r="565" spans="8:8" x14ac:dyDescent="0.25">
      <c r="H565" s="8"/>
    </row>
    <row r="566" spans="8:8" x14ac:dyDescent="0.25">
      <c r="H566" s="8"/>
    </row>
    <row r="567" spans="8:8" x14ac:dyDescent="0.25">
      <c r="H567" s="8"/>
    </row>
    <row r="568" spans="8:8" x14ac:dyDescent="0.25">
      <c r="H568" s="8"/>
    </row>
    <row r="569" spans="8:8" x14ac:dyDescent="0.25">
      <c r="H569" s="8"/>
    </row>
    <row r="570" spans="8:8" x14ac:dyDescent="0.25">
      <c r="H570" s="8"/>
    </row>
    <row r="571" spans="8:8" x14ac:dyDescent="0.25">
      <c r="H571" s="8"/>
    </row>
    <row r="572" spans="8:8" x14ac:dyDescent="0.25">
      <c r="H572" s="8"/>
    </row>
    <row r="573" spans="8:8" x14ac:dyDescent="0.25">
      <c r="H573" s="8"/>
    </row>
    <row r="574" spans="8:8" x14ac:dyDescent="0.25">
      <c r="H574" s="8"/>
    </row>
    <row r="575" spans="8:8" x14ac:dyDescent="0.25">
      <c r="H575" s="8"/>
    </row>
    <row r="576" spans="8:8" x14ac:dyDescent="0.25">
      <c r="H576" s="8"/>
    </row>
    <row r="577" spans="8:8" x14ac:dyDescent="0.25">
      <c r="H577" s="8"/>
    </row>
    <row r="578" spans="8:8" x14ac:dyDescent="0.25">
      <c r="H578" s="8"/>
    </row>
    <row r="579" spans="8:8" x14ac:dyDescent="0.25">
      <c r="H579" s="8"/>
    </row>
    <row r="580" spans="8:8" x14ac:dyDescent="0.25">
      <c r="H580" s="8"/>
    </row>
    <row r="581" spans="8:8" x14ac:dyDescent="0.25">
      <c r="H581" s="8"/>
    </row>
    <row r="582" spans="8:8" x14ac:dyDescent="0.25">
      <c r="H582" s="8"/>
    </row>
    <row r="583" spans="8:8" x14ac:dyDescent="0.25">
      <c r="H583" s="8"/>
    </row>
    <row r="584" spans="8:8" x14ac:dyDescent="0.25">
      <c r="H584" s="8"/>
    </row>
    <row r="585" spans="8:8" x14ac:dyDescent="0.25">
      <c r="H585" s="8"/>
    </row>
    <row r="586" spans="8:8" x14ac:dyDescent="0.25">
      <c r="H586" s="8"/>
    </row>
    <row r="587" spans="8:8" x14ac:dyDescent="0.25">
      <c r="H587" s="8"/>
    </row>
    <row r="588" spans="8:8" x14ac:dyDescent="0.25">
      <c r="H588" s="8"/>
    </row>
    <row r="589" spans="8:8" x14ac:dyDescent="0.25">
      <c r="H589" s="8"/>
    </row>
    <row r="590" spans="8:8" x14ac:dyDescent="0.25">
      <c r="H590" s="8"/>
    </row>
    <row r="591" spans="8:8" x14ac:dyDescent="0.25">
      <c r="H591" s="8"/>
    </row>
    <row r="592" spans="8:8" x14ac:dyDescent="0.25">
      <c r="H592" s="8"/>
    </row>
    <row r="593" spans="8:8" x14ac:dyDescent="0.25">
      <c r="H593" s="8"/>
    </row>
    <row r="594" spans="8:8" x14ac:dyDescent="0.25">
      <c r="H594" s="8"/>
    </row>
    <row r="595" spans="8:8" x14ac:dyDescent="0.25">
      <c r="H595" s="8"/>
    </row>
    <row r="596" spans="8:8" x14ac:dyDescent="0.25">
      <c r="H596" s="8"/>
    </row>
    <row r="597" spans="8:8" x14ac:dyDescent="0.25">
      <c r="H597" s="8"/>
    </row>
    <row r="598" spans="8:8" x14ac:dyDescent="0.25">
      <c r="H598" s="8"/>
    </row>
    <row r="599" spans="8:8" x14ac:dyDescent="0.25">
      <c r="H599" s="8"/>
    </row>
    <row r="600" spans="8:8" x14ac:dyDescent="0.25">
      <c r="H600" s="8"/>
    </row>
    <row r="601" spans="8:8" x14ac:dyDescent="0.25">
      <c r="H601" s="8"/>
    </row>
    <row r="602" spans="8:8" x14ac:dyDescent="0.25">
      <c r="H602" s="8"/>
    </row>
    <row r="603" spans="8:8" x14ac:dyDescent="0.25">
      <c r="H603" s="8"/>
    </row>
    <row r="604" spans="8:8" x14ac:dyDescent="0.25">
      <c r="H604" s="8"/>
    </row>
    <row r="605" spans="8:8" x14ac:dyDescent="0.25">
      <c r="H605" s="8"/>
    </row>
    <row r="606" spans="8:8" x14ac:dyDescent="0.25">
      <c r="H606" s="8"/>
    </row>
    <row r="607" spans="8:8" x14ac:dyDescent="0.25">
      <c r="H607" s="8"/>
    </row>
    <row r="608" spans="8:8" x14ac:dyDescent="0.25">
      <c r="H608" s="8"/>
    </row>
    <row r="609" spans="8:8" x14ac:dyDescent="0.25">
      <c r="H609" s="8"/>
    </row>
    <row r="610" spans="8:8" x14ac:dyDescent="0.25">
      <c r="H610" s="8"/>
    </row>
    <row r="611" spans="8:8" x14ac:dyDescent="0.25">
      <c r="H611" s="8"/>
    </row>
    <row r="612" spans="8:8" x14ac:dyDescent="0.25">
      <c r="H612" s="8"/>
    </row>
    <row r="613" spans="8:8" x14ac:dyDescent="0.25">
      <c r="H613" s="8"/>
    </row>
    <row r="614" spans="8:8" x14ac:dyDescent="0.25">
      <c r="H614" s="8"/>
    </row>
    <row r="615" spans="8:8" x14ac:dyDescent="0.25">
      <c r="H615" s="8"/>
    </row>
    <row r="616" spans="8:8" x14ac:dyDescent="0.25">
      <c r="H616" s="8"/>
    </row>
    <row r="617" spans="8:8" x14ac:dyDescent="0.25">
      <c r="H617" s="8"/>
    </row>
    <row r="618" spans="8:8" x14ac:dyDescent="0.25">
      <c r="H618" s="8"/>
    </row>
    <row r="619" spans="8:8" x14ac:dyDescent="0.25">
      <c r="H619" s="8"/>
    </row>
    <row r="620" spans="8:8" x14ac:dyDescent="0.25">
      <c r="H620" s="8"/>
    </row>
    <row r="621" spans="8:8" x14ac:dyDescent="0.25">
      <c r="H621" s="8"/>
    </row>
    <row r="622" spans="8:8" x14ac:dyDescent="0.25">
      <c r="H622" s="8"/>
    </row>
    <row r="623" spans="8:8" x14ac:dyDescent="0.25">
      <c r="H623" s="8"/>
    </row>
    <row r="624" spans="8:8" x14ac:dyDescent="0.25">
      <c r="H624" s="8"/>
    </row>
    <row r="625" spans="8:8" x14ac:dyDescent="0.25">
      <c r="H625" s="8"/>
    </row>
    <row r="626" spans="8:8" x14ac:dyDescent="0.25">
      <c r="H626" s="8"/>
    </row>
    <row r="627" spans="8:8" x14ac:dyDescent="0.25">
      <c r="H627" s="8"/>
    </row>
    <row r="628" spans="8:8" x14ac:dyDescent="0.25">
      <c r="H628" s="8"/>
    </row>
    <row r="629" spans="8:8" x14ac:dyDescent="0.25">
      <c r="H629" s="8"/>
    </row>
    <row r="630" spans="8:8" x14ac:dyDescent="0.25">
      <c r="H630" s="8"/>
    </row>
    <row r="631" spans="8:8" x14ac:dyDescent="0.25">
      <c r="H631" s="8"/>
    </row>
    <row r="632" spans="8:8" x14ac:dyDescent="0.25">
      <c r="H632" s="8"/>
    </row>
    <row r="633" spans="8:8" x14ac:dyDescent="0.25">
      <c r="H633" s="8"/>
    </row>
    <row r="634" spans="8:8" x14ac:dyDescent="0.25">
      <c r="H634" s="8"/>
    </row>
    <row r="635" spans="8:8" x14ac:dyDescent="0.25">
      <c r="H635" s="8"/>
    </row>
    <row r="636" spans="8:8" x14ac:dyDescent="0.25">
      <c r="H636" s="8"/>
    </row>
    <row r="637" spans="8:8" x14ac:dyDescent="0.25">
      <c r="H637" s="8"/>
    </row>
    <row r="638" spans="8:8" x14ac:dyDescent="0.25">
      <c r="H638" s="8"/>
    </row>
    <row r="639" spans="8:8" x14ac:dyDescent="0.25">
      <c r="H639" s="8"/>
    </row>
    <row r="640" spans="8:8" x14ac:dyDescent="0.25">
      <c r="H640" s="8"/>
    </row>
    <row r="641" spans="8:8" x14ac:dyDescent="0.25">
      <c r="H641" s="8"/>
    </row>
    <row r="642" spans="8:8" x14ac:dyDescent="0.25">
      <c r="H642" s="8"/>
    </row>
    <row r="643" spans="8:8" x14ac:dyDescent="0.25">
      <c r="H643" s="8"/>
    </row>
    <row r="644" spans="8:8" x14ac:dyDescent="0.25">
      <c r="H644" s="8"/>
    </row>
    <row r="645" spans="8:8" x14ac:dyDescent="0.25">
      <c r="H645" s="8"/>
    </row>
    <row r="646" spans="8:8" x14ac:dyDescent="0.25">
      <c r="H646" s="8"/>
    </row>
    <row r="647" spans="8:8" x14ac:dyDescent="0.25">
      <c r="H647" s="8"/>
    </row>
    <row r="648" spans="8:8" x14ac:dyDescent="0.25">
      <c r="H648" s="8"/>
    </row>
    <row r="649" spans="8:8" x14ac:dyDescent="0.25">
      <c r="H649" s="8"/>
    </row>
    <row r="650" spans="8:8" x14ac:dyDescent="0.25">
      <c r="H650" s="8"/>
    </row>
    <row r="651" spans="8:8" x14ac:dyDescent="0.25">
      <c r="H651" s="8"/>
    </row>
    <row r="652" spans="8:8" x14ac:dyDescent="0.25">
      <c r="H652" s="8"/>
    </row>
    <row r="653" spans="8:8" x14ac:dyDescent="0.25">
      <c r="H653" s="8"/>
    </row>
    <row r="654" spans="8:8" x14ac:dyDescent="0.25">
      <c r="H654" s="8"/>
    </row>
    <row r="655" spans="8:8" x14ac:dyDescent="0.25">
      <c r="H655" s="8"/>
    </row>
    <row r="656" spans="8:8" x14ac:dyDescent="0.25">
      <c r="H656" s="8"/>
    </row>
    <row r="657" spans="8:8" x14ac:dyDescent="0.25">
      <c r="H657" s="8"/>
    </row>
    <row r="658" spans="8:8" x14ac:dyDescent="0.25">
      <c r="H658" s="8"/>
    </row>
    <row r="659" spans="8:8" x14ac:dyDescent="0.25">
      <c r="H659" s="8"/>
    </row>
    <row r="660" spans="8:8" x14ac:dyDescent="0.25">
      <c r="H660" s="8"/>
    </row>
    <row r="661" spans="8:8" x14ac:dyDescent="0.25">
      <c r="H661" s="8"/>
    </row>
    <row r="662" spans="8:8" x14ac:dyDescent="0.25">
      <c r="H662" s="8"/>
    </row>
    <row r="663" spans="8:8" x14ac:dyDescent="0.25">
      <c r="H663" s="8"/>
    </row>
    <row r="664" spans="8:8" x14ac:dyDescent="0.25">
      <c r="H664" s="8"/>
    </row>
    <row r="665" spans="8:8" x14ac:dyDescent="0.25">
      <c r="H665" s="8"/>
    </row>
    <row r="666" spans="8:8" x14ac:dyDescent="0.25">
      <c r="H666" s="8"/>
    </row>
    <row r="667" spans="8:8" x14ac:dyDescent="0.25">
      <c r="H667" s="8"/>
    </row>
    <row r="668" spans="8:8" x14ac:dyDescent="0.25">
      <c r="H668" s="8"/>
    </row>
    <row r="669" spans="8:8" x14ac:dyDescent="0.25">
      <c r="H669" s="8"/>
    </row>
    <row r="670" spans="8:8" x14ac:dyDescent="0.25">
      <c r="H670" s="8"/>
    </row>
    <row r="671" spans="8:8" x14ac:dyDescent="0.25">
      <c r="H671" s="8"/>
    </row>
    <row r="672" spans="8:8" x14ac:dyDescent="0.25">
      <c r="H672" s="8"/>
    </row>
    <row r="673" spans="8:8" x14ac:dyDescent="0.25">
      <c r="H673" s="8"/>
    </row>
    <row r="674" spans="8:8" x14ac:dyDescent="0.25">
      <c r="H674" s="8"/>
    </row>
    <row r="675" spans="8:8" x14ac:dyDescent="0.25">
      <c r="H675" s="8"/>
    </row>
    <row r="676" spans="8:8" x14ac:dyDescent="0.25">
      <c r="H676" s="8"/>
    </row>
    <row r="677" spans="8:8" x14ac:dyDescent="0.25">
      <c r="H677" s="8"/>
    </row>
    <row r="678" spans="8:8" x14ac:dyDescent="0.25">
      <c r="H678" s="8"/>
    </row>
    <row r="679" spans="8:8" x14ac:dyDescent="0.25">
      <c r="H679" s="8"/>
    </row>
    <row r="680" spans="8:8" x14ac:dyDescent="0.25">
      <c r="H680" s="8"/>
    </row>
    <row r="681" spans="8:8" x14ac:dyDescent="0.25">
      <c r="H681" s="8"/>
    </row>
    <row r="682" spans="8:8" x14ac:dyDescent="0.25">
      <c r="H682" s="8"/>
    </row>
    <row r="683" spans="8:8" x14ac:dyDescent="0.25">
      <c r="H683" s="8"/>
    </row>
    <row r="684" spans="8:8" x14ac:dyDescent="0.25">
      <c r="H684" s="8"/>
    </row>
    <row r="685" spans="8:8" x14ac:dyDescent="0.25">
      <c r="H685" s="8"/>
    </row>
    <row r="686" spans="8:8" x14ac:dyDescent="0.25">
      <c r="H686" s="8"/>
    </row>
    <row r="687" spans="8:8" x14ac:dyDescent="0.25">
      <c r="H687" s="8"/>
    </row>
    <row r="688" spans="8:8" x14ac:dyDescent="0.25">
      <c r="H688" s="8"/>
    </row>
    <row r="689" spans="8:8" x14ac:dyDescent="0.25">
      <c r="H689" s="8"/>
    </row>
    <row r="690" spans="8:8" x14ac:dyDescent="0.25">
      <c r="H690" s="8"/>
    </row>
    <row r="691" spans="8:8" x14ac:dyDescent="0.25">
      <c r="H691" s="8"/>
    </row>
    <row r="692" spans="8:8" x14ac:dyDescent="0.25">
      <c r="H692" s="8"/>
    </row>
    <row r="693" spans="8:8" x14ac:dyDescent="0.25">
      <c r="H693" s="8"/>
    </row>
    <row r="694" spans="8:8" x14ac:dyDescent="0.25">
      <c r="H694" s="8"/>
    </row>
    <row r="695" spans="8:8" x14ac:dyDescent="0.25">
      <c r="H695" s="8"/>
    </row>
    <row r="696" spans="8:8" x14ac:dyDescent="0.25">
      <c r="H696" s="8"/>
    </row>
    <row r="697" spans="8:8" x14ac:dyDescent="0.25">
      <c r="H697" s="8"/>
    </row>
    <row r="698" spans="8:8" x14ac:dyDescent="0.25">
      <c r="H698" s="8"/>
    </row>
    <row r="699" spans="8:8" x14ac:dyDescent="0.25">
      <c r="H699" s="8"/>
    </row>
    <row r="700" spans="8:8" x14ac:dyDescent="0.25">
      <c r="H700" s="8"/>
    </row>
    <row r="701" spans="8:8" x14ac:dyDescent="0.25">
      <c r="H701" s="8"/>
    </row>
    <row r="702" spans="8:8" x14ac:dyDescent="0.25">
      <c r="H702" s="8"/>
    </row>
    <row r="703" spans="8:8" x14ac:dyDescent="0.25">
      <c r="H703" s="8"/>
    </row>
    <row r="704" spans="8:8" x14ac:dyDescent="0.25">
      <c r="H704" s="8"/>
    </row>
    <row r="705" spans="8:8" x14ac:dyDescent="0.25">
      <c r="H705" s="8"/>
    </row>
    <row r="706" spans="8:8" x14ac:dyDescent="0.25">
      <c r="H706" s="8"/>
    </row>
    <row r="707" spans="8:8" x14ac:dyDescent="0.25">
      <c r="H707" s="8"/>
    </row>
    <row r="708" spans="8:8" x14ac:dyDescent="0.25">
      <c r="H708" s="8"/>
    </row>
    <row r="709" spans="8:8" x14ac:dyDescent="0.25">
      <c r="H709" s="8"/>
    </row>
    <row r="710" spans="8:8" x14ac:dyDescent="0.25">
      <c r="H710" s="8"/>
    </row>
    <row r="711" spans="8:8" x14ac:dyDescent="0.25">
      <c r="H711" s="8"/>
    </row>
    <row r="712" spans="8:8" x14ac:dyDescent="0.25">
      <c r="H712" s="8"/>
    </row>
    <row r="713" spans="8:8" x14ac:dyDescent="0.25">
      <c r="H713" s="8"/>
    </row>
    <row r="714" spans="8:8" x14ac:dyDescent="0.25">
      <c r="H714" s="8"/>
    </row>
    <row r="715" spans="8:8" x14ac:dyDescent="0.25">
      <c r="H715" s="8"/>
    </row>
    <row r="716" spans="8:8" x14ac:dyDescent="0.25">
      <c r="H716" s="8"/>
    </row>
    <row r="717" spans="8:8" x14ac:dyDescent="0.25">
      <c r="H717" s="8"/>
    </row>
    <row r="718" spans="8:8" x14ac:dyDescent="0.25">
      <c r="H718" s="8"/>
    </row>
    <row r="719" spans="8:8" x14ac:dyDescent="0.25">
      <c r="H719" s="8"/>
    </row>
    <row r="720" spans="8:8" x14ac:dyDescent="0.25">
      <c r="H720" s="8"/>
    </row>
    <row r="721" spans="8:8" x14ac:dyDescent="0.25">
      <c r="H721" s="8"/>
    </row>
    <row r="722" spans="8:8" x14ac:dyDescent="0.25">
      <c r="H722" s="8"/>
    </row>
    <row r="723" spans="8:8" x14ac:dyDescent="0.25">
      <c r="H723" s="8"/>
    </row>
    <row r="724" spans="8:8" x14ac:dyDescent="0.25">
      <c r="H724" s="8"/>
    </row>
    <row r="725" spans="8:8" x14ac:dyDescent="0.25">
      <c r="H725" s="8"/>
    </row>
    <row r="726" spans="8:8" x14ac:dyDescent="0.25">
      <c r="H726" s="8"/>
    </row>
    <row r="727" spans="8:8" x14ac:dyDescent="0.25">
      <c r="H727" s="8"/>
    </row>
    <row r="728" spans="8:8" x14ac:dyDescent="0.25">
      <c r="H728" s="8"/>
    </row>
    <row r="729" spans="8:8" x14ac:dyDescent="0.25">
      <c r="H729" s="8"/>
    </row>
    <row r="730" spans="8:8" x14ac:dyDescent="0.25">
      <c r="H730" s="8"/>
    </row>
    <row r="731" spans="8:8" x14ac:dyDescent="0.25">
      <c r="H731" s="8"/>
    </row>
    <row r="732" spans="8:8" x14ac:dyDescent="0.25">
      <c r="H732" s="8"/>
    </row>
    <row r="733" spans="8:8" x14ac:dyDescent="0.25">
      <c r="H733" s="8"/>
    </row>
    <row r="734" spans="8:8" x14ac:dyDescent="0.25">
      <c r="H734" s="8"/>
    </row>
    <row r="735" spans="8:8" x14ac:dyDescent="0.25">
      <c r="H735" s="8"/>
    </row>
    <row r="736" spans="8:8" x14ac:dyDescent="0.25">
      <c r="H736" s="8"/>
    </row>
    <row r="737" spans="8:8" x14ac:dyDescent="0.25">
      <c r="H737" s="8"/>
    </row>
    <row r="738" spans="8:8" x14ac:dyDescent="0.25">
      <c r="H738" s="8"/>
    </row>
    <row r="739" spans="8:8" x14ac:dyDescent="0.25">
      <c r="H739" s="8"/>
    </row>
    <row r="740" spans="8:8" x14ac:dyDescent="0.25">
      <c r="H740" s="8"/>
    </row>
    <row r="741" spans="8:8" x14ac:dyDescent="0.25">
      <c r="H741" s="8"/>
    </row>
    <row r="742" spans="8:8" x14ac:dyDescent="0.25">
      <c r="H742" s="8"/>
    </row>
    <row r="743" spans="8:8" x14ac:dyDescent="0.25">
      <c r="H743" s="8"/>
    </row>
    <row r="744" spans="8:8" x14ac:dyDescent="0.25">
      <c r="H744" s="8"/>
    </row>
    <row r="745" spans="8:8" x14ac:dyDescent="0.25">
      <c r="H745" s="8"/>
    </row>
    <row r="746" spans="8:8" x14ac:dyDescent="0.25">
      <c r="H746" s="8"/>
    </row>
    <row r="747" spans="8:8" x14ac:dyDescent="0.25">
      <c r="H747" s="8"/>
    </row>
    <row r="748" spans="8:8" x14ac:dyDescent="0.25">
      <c r="H748" s="8"/>
    </row>
    <row r="749" spans="8:8" x14ac:dyDescent="0.25">
      <c r="H749" s="8"/>
    </row>
    <row r="750" spans="8:8" x14ac:dyDescent="0.25">
      <c r="H750" s="8"/>
    </row>
    <row r="751" spans="8:8" x14ac:dyDescent="0.25">
      <c r="H751" s="8"/>
    </row>
    <row r="752" spans="8:8" x14ac:dyDescent="0.25">
      <c r="H752" s="8"/>
    </row>
    <row r="753" spans="8:8" x14ac:dyDescent="0.25">
      <c r="H753" s="8"/>
    </row>
    <row r="754" spans="8:8" x14ac:dyDescent="0.25">
      <c r="H754" s="8"/>
    </row>
    <row r="755" spans="8:8" x14ac:dyDescent="0.25">
      <c r="H755" s="8"/>
    </row>
    <row r="756" spans="8:8" x14ac:dyDescent="0.25">
      <c r="H756" s="8"/>
    </row>
    <row r="757" spans="8:8" x14ac:dyDescent="0.25">
      <c r="H757" s="8"/>
    </row>
    <row r="758" spans="8:8" x14ac:dyDescent="0.25">
      <c r="H758" s="8"/>
    </row>
    <row r="759" spans="8:8" x14ac:dyDescent="0.25">
      <c r="H759" s="8"/>
    </row>
    <row r="760" spans="8:8" x14ac:dyDescent="0.25">
      <c r="H760" s="8"/>
    </row>
    <row r="761" spans="8:8" x14ac:dyDescent="0.25">
      <c r="H761" s="8"/>
    </row>
    <row r="762" spans="8:8" x14ac:dyDescent="0.25">
      <c r="H762" s="8"/>
    </row>
    <row r="763" spans="8:8" x14ac:dyDescent="0.25">
      <c r="H763" s="8"/>
    </row>
    <row r="764" spans="8:8" x14ac:dyDescent="0.25">
      <c r="H764" s="8"/>
    </row>
    <row r="765" spans="8:8" x14ac:dyDescent="0.25">
      <c r="H765" s="8"/>
    </row>
    <row r="766" spans="8:8" x14ac:dyDescent="0.25">
      <c r="H766" s="8"/>
    </row>
    <row r="767" spans="8:8" x14ac:dyDescent="0.25">
      <c r="H767" s="8"/>
    </row>
    <row r="768" spans="8:8" x14ac:dyDescent="0.25">
      <c r="H768" s="8"/>
    </row>
    <row r="769" spans="8:8" x14ac:dyDescent="0.25">
      <c r="H769" s="8"/>
    </row>
    <row r="770" spans="8:8" x14ac:dyDescent="0.25">
      <c r="H770" s="8"/>
    </row>
    <row r="771" spans="8:8" x14ac:dyDescent="0.25">
      <c r="H771" s="8"/>
    </row>
    <row r="772" spans="8:8" x14ac:dyDescent="0.25">
      <c r="H772" s="8"/>
    </row>
    <row r="773" spans="8:8" x14ac:dyDescent="0.25">
      <c r="H773" s="8"/>
    </row>
    <row r="774" spans="8:8" x14ac:dyDescent="0.25">
      <c r="H774" s="8"/>
    </row>
    <row r="775" spans="8:8" x14ac:dyDescent="0.25">
      <c r="H775" s="8"/>
    </row>
    <row r="776" spans="8:8" x14ac:dyDescent="0.25">
      <c r="H776" s="8"/>
    </row>
    <row r="777" spans="8:8" x14ac:dyDescent="0.25">
      <c r="H777" s="8"/>
    </row>
    <row r="778" spans="8:8" x14ac:dyDescent="0.25">
      <c r="H778" s="8"/>
    </row>
    <row r="779" spans="8:8" x14ac:dyDescent="0.25">
      <c r="H779" s="8"/>
    </row>
    <row r="780" spans="8:8" x14ac:dyDescent="0.25">
      <c r="H780" s="8"/>
    </row>
    <row r="781" spans="8:8" x14ac:dyDescent="0.25">
      <c r="H781" s="8"/>
    </row>
    <row r="782" spans="8:8" x14ac:dyDescent="0.25">
      <c r="H782" s="8"/>
    </row>
    <row r="783" spans="8:8" x14ac:dyDescent="0.25">
      <c r="H783" s="8"/>
    </row>
    <row r="784" spans="8:8" x14ac:dyDescent="0.25">
      <c r="H784" s="8"/>
    </row>
    <row r="785" spans="8:8" x14ac:dyDescent="0.25">
      <c r="H785" s="8"/>
    </row>
    <row r="786" spans="8:8" x14ac:dyDescent="0.25">
      <c r="H786" s="8"/>
    </row>
    <row r="787" spans="8:8" x14ac:dyDescent="0.25">
      <c r="H787" s="8"/>
    </row>
    <row r="788" spans="8:8" x14ac:dyDescent="0.25">
      <c r="H788" s="8"/>
    </row>
    <row r="789" spans="8:8" x14ac:dyDescent="0.25">
      <c r="H789" s="8"/>
    </row>
    <row r="790" spans="8:8" x14ac:dyDescent="0.25">
      <c r="H790" s="8"/>
    </row>
    <row r="791" spans="8:8" x14ac:dyDescent="0.25">
      <c r="H791" s="8"/>
    </row>
    <row r="792" spans="8:8" x14ac:dyDescent="0.25">
      <c r="H792" s="8"/>
    </row>
    <row r="793" spans="8:8" x14ac:dyDescent="0.25">
      <c r="H793" s="8"/>
    </row>
    <row r="794" spans="8:8" x14ac:dyDescent="0.25">
      <c r="H794" s="8"/>
    </row>
    <row r="795" spans="8:8" x14ac:dyDescent="0.25">
      <c r="H795" s="8"/>
    </row>
    <row r="796" spans="8:8" x14ac:dyDescent="0.25">
      <c r="H796" s="8"/>
    </row>
    <row r="797" spans="8:8" x14ac:dyDescent="0.25">
      <c r="H797" s="8"/>
    </row>
    <row r="798" spans="8:8" x14ac:dyDescent="0.25">
      <c r="H798" s="8"/>
    </row>
    <row r="799" spans="8:8" x14ac:dyDescent="0.25">
      <c r="H799" s="8"/>
    </row>
    <row r="800" spans="8:8" x14ac:dyDescent="0.25">
      <c r="H800" s="8"/>
    </row>
    <row r="801" spans="8:8" x14ac:dyDescent="0.25">
      <c r="H801" s="8"/>
    </row>
    <row r="802" spans="8:8" x14ac:dyDescent="0.25">
      <c r="H802" s="8"/>
    </row>
    <row r="803" spans="8:8" x14ac:dyDescent="0.25">
      <c r="H803" s="8"/>
    </row>
    <row r="804" spans="8:8" x14ac:dyDescent="0.25">
      <c r="H804" s="8"/>
    </row>
    <row r="805" spans="8:8" x14ac:dyDescent="0.25">
      <c r="H805" s="8"/>
    </row>
    <row r="806" spans="8:8" x14ac:dyDescent="0.25">
      <c r="H806" s="8"/>
    </row>
    <row r="807" spans="8:8" x14ac:dyDescent="0.25">
      <c r="H807" s="8"/>
    </row>
    <row r="808" spans="8:8" x14ac:dyDescent="0.25">
      <c r="H808" s="8"/>
    </row>
    <row r="809" spans="8:8" x14ac:dyDescent="0.25">
      <c r="H809" s="8"/>
    </row>
    <row r="810" spans="8:8" x14ac:dyDescent="0.25">
      <c r="H810" s="8"/>
    </row>
    <row r="811" spans="8:8" x14ac:dyDescent="0.25">
      <c r="H811" s="8"/>
    </row>
    <row r="812" spans="8:8" x14ac:dyDescent="0.25">
      <c r="H812" s="8"/>
    </row>
    <row r="813" spans="8:8" x14ac:dyDescent="0.25">
      <c r="H813" s="8"/>
    </row>
    <row r="814" spans="8:8" x14ac:dyDescent="0.25">
      <c r="H814" s="8"/>
    </row>
    <row r="815" spans="8:8" x14ac:dyDescent="0.25">
      <c r="H815" s="8"/>
    </row>
    <row r="816" spans="8:8" x14ac:dyDescent="0.25">
      <c r="H816" s="8"/>
    </row>
    <row r="817" spans="8:8" x14ac:dyDescent="0.25">
      <c r="H817" s="8"/>
    </row>
    <row r="818" spans="8:8" x14ac:dyDescent="0.25">
      <c r="H818" s="8"/>
    </row>
    <row r="819" spans="8:8" x14ac:dyDescent="0.25">
      <c r="H819" s="8"/>
    </row>
    <row r="820" spans="8:8" x14ac:dyDescent="0.25">
      <c r="H820" s="8"/>
    </row>
    <row r="821" spans="8:8" x14ac:dyDescent="0.25">
      <c r="H821" s="8"/>
    </row>
    <row r="822" spans="8:8" x14ac:dyDescent="0.25">
      <c r="H822" s="8"/>
    </row>
    <row r="823" spans="8:8" x14ac:dyDescent="0.25">
      <c r="H823" s="8"/>
    </row>
    <row r="824" spans="8:8" x14ac:dyDescent="0.25">
      <c r="H824" s="8"/>
    </row>
    <row r="825" spans="8:8" x14ac:dyDescent="0.25">
      <c r="H825" s="8"/>
    </row>
    <row r="826" spans="8:8" x14ac:dyDescent="0.25">
      <c r="H826" s="8"/>
    </row>
    <row r="827" spans="8:8" x14ac:dyDescent="0.25">
      <c r="H827" s="8"/>
    </row>
    <row r="828" spans="8:8" x14ac:dyDescent="0.25">
      <c r="H828" s="8"/>
    </row>
    <row r="829" spans="8:8" x14ac:dyDescent="0.25">
      <c r="H829" s="8"/>
    </row>
    <row r="830" spans="8:8" x14ac:dyDescent="0.25">
      <c r="H830" s="8"/>
    </row>
    <row r="831" spans="8:8" x14ac:dyDescent="0.25">
      <c r="H831" s="8"/>
    </row>
    <row r="832" spans="8:8" x14ac:dyDescent="0.25">
      <c r="H832" s="8"/>
    </row>
    <row r="833" spans="8:8" x14ac:dyDescent="0.25">
      <c r="H833" s="8"/>
    </row>
    <row r="834" spans="8:8" x14ac:dyDescent="0.25">
      <c r="H834" s="8"/>
    </row>
    <row r="835" spans="8:8" x14ac:dyDescent="0.25">
      <c r="H835" s="8"/>
    </row>
    <row r="836" spans="8:8" x14ac:dyDescent="0.25">
      <c r="H836" s="8"/>
    </row>
    <row r="837" spans="8:8" x14ac:dyDescent="0.25">
      <c r="H837" s="8"/>
    </row>
    <row r="838" spans="8:8" x14ac:dyDescent="0.25">
      <c r="H838" s="8"/>
    </row>
    <row r="839" spans="8:8" x14ac:dyDescent="0.25">
      <c r="H839" s="8"/>
    </row>
    <row r="840" spans="8:8" x14ac:dyDescent="0.25">
      <c r="H840" s="8"/>
    </row>
    <row r="841" spans="8:8" x14ac:dyDescent="0.25">
      <c r="H841" s="8"/>
    </row>
    <row r="842" spans="8:8" x14ac:dyDescent="0.25">
      <c r="H842" s="8"/>
    </row>
    <row r="843" spans="8:8" x14ac:dyDescent="0.25">
      <c r="H843" s="8"/>
    </row>
    <row r="844" spans="8:8" x14ac:dyDescent="0.25">
      <c r="H844" s="8"/>
    </row>
    <row r="845" spans="8:8" x14ac:dyDescent="0.25">
      <c r="H845" s="8"/>
    </row>
    <row r="846" spans="8:8" x14ac:dyDescent="0.25">
      <c r="H846" s="8"/>
    </row>
    <row r="847" spans="8:8" x14ac:dyDescent="0.25">
      <c r="H847" s="8"/>
    </row>
    <row r="848" spans="8:8" x14ac:dyDescent="0.25">
      <c r="H848" s="8"/>
    </row>
    <row r="849" spans="8:8" x14ac:dyDescent="0.25">
      <c r="H849" s="8"/>
    </row>
    <row r="850" spans="8:8" x14ac:dyDescent="0.25">
      <c r="H850" s="8"/>
    </row>
    <row r="851" spans="8:8" x14ac:dyDescent="0.25">
      <c r="H851" s="8"/>
    </row>
    <row r="852" spans="8:8" x14ac:dyDescent="0.25">
      <c r="H852" s="8"/>
    </row>
    <row r="853" spans="8:8" x14ac:dyDescent="0.25">
      <c r="H853" s="8"/>
    </row>
    <row r="854" spans="8:8" x14ac:dyDescent="0.25">
      <c r="H854" s="8"/>
    </row>
    <row r="855" spans="8:8" x14ac:dyDescent="0.25">
      <c r="H855" s="8"/>
    </row>
    <row r="856" spans="8:8" x14ac:dyDescent="0.25">
      <c r="H856" s="8"/>
    </row>
    <row r="857" spans="8:8" x14ac:dyDescent="0.25">
      <c r="H857" s="8"/>
    </row>
    <row r="858" spans="8:8" x14ac:dyDescent="0.25">
      <c r="H858" s="8"/>
    </row>
    <row r="859" spans="8:8" x14ac:dyDescent="0.25">
      <c r="H859" s="8"/>
    </row>
    <row r="860" spans="8:8" x14ac:dyDescent="0.25">
      <c r="H860" s="8"/>
    </row>
    <row r="861" spans="8:8" x14ac:dyDescent="0.25">
      <c r="H861" s="8"/>
    </row>
    <row r="862" spans="8:8" x14ac:dyDescent="0.25">
      <c r="H862" s="8"/>
    </row>
    <row r="863" spans="8:8" x14ac:dyDescent="0.25">
      <c r="H863" s="8"/>
    </row>
    <row r="864" spans="8:8" x14ac:dyDescent="0.25">
      <c r="H864" s="8"/>
    </row>
    <row r="865" spans="8:8" x14ac:dyDescent="0.25">
      <c r="H865" s="8"/>
    </row>
    <row r="866" spans="8:8" x14ac:dyDescent="0.25">
      <c r="H866" s="8"/>
    </row>
    <row r="867" spans="8:8" x14ac:dyDescent="0.25">
      <c r="H867" s="8"/>
    </row>
    <row r="868" spans="8:8" x14ac:dyDescent="0.25">
      <c r="H868" s="8"/>
    </row>
    <row r="869" spans="8:8" x14ac:dyDescent="0.25">
      <c r="H869" s="8"/>
    </row>
    <row r="870" spans="8:8" x14ac:dyDescent="0.25">
      <c r="H870" s="8"/>
    </row>
    <row r="871" spans="8:8" x14ac:dyDescent="0.25">
      <c r="H871" s="8"/>
    </row>
    <row r="872" spans="8:8" x14ac:dyDescent="0.25">
      <c r="H872" s="8"/>
    </row>
    <row r="873" spans="8:8" x14ac:dyDescent="0.25">
      <c r="H873" s="8"/>
    </row>
    <row r="874" spans="8:8" x14ac:dyDescent="0.25">
      <c r="H874" s="8"/>
    </row>
    <row r="875" spans="8:8" x14ac:dyDescent="0.25">
      <c r="H875" s="8"/>
    </row>
    <row r="876" spans="8:8" x14ac:dyDescent="0.25">
      <c r="H876" s="8"/>
    </row>
    <row r="877" spans="8:8" x14ac:dyDescent="0.25">
      <c r="H877" s="8"/>
    </row>
    <row r="878" spans="8:8" x14ac:dyDescent="0.25">
      <c r="H878" s="8"/>
    </row>
    <row r="879" spans="8:8" x14ac:dyDescent="0.25">
      <c r="H879" s="8"/>
    </row>
    <row r="880" spans="8:8" x14ac:dyDescent="0.25">
      <c r="H880" s="8"/>
    </row>
    <row r="881" spans="8:8" x14ac:dyDescent="0.25">
      <c r="H881" s="8"/>
    </row>
    <row r="882" spans="8:8" x14ac:dyDescent="0.25">
      <c r="H882" s="8"/>
    </row>
    <row r="883" spans="8:8" x14ac:dyDescent="0.25">
      <c r="H883" s="8"/>
    </row>
    <row r="884" spans="8:8" x14ac:dyDescent="0.25">
      <c r="H884" s="8"/>
    </row>
    <row r="885" spans="8:8" x14ac:dyDescent="0.25">
      <c r="H885" s="8"/>
    </row>
    <row r="886" spans="8:8" x14ac:dyDescent="0.25">
      <c r="H886" s="8"/>
    </row>
    <row r="887" spans="8:8" x14ac:dyDescent="0.25">
      <c r="H887" s="8"/>
    </row>
    <row r="888" spans="8:8" x14ac:dyDescent="0.25">
      <c r="H888" s="8"/>
    </row>
    <row r="889" spans="8:8" x14ac:dyDescent="0.25">
      <c r="H889" s="8"/>
    </row>
    <row r="890" spans="8:8" x14ac:dyDescent="0.25">
      <c r="H890" s="8"/>
    </row>
    <row r="891" spans="8:8" x14ac:dyDescent="0.25">
      <c r="H891" s="8"/>
    </row>
    <row r="892" spans="8:8" x14ac:dyDescent="0.25">
      <c r="H892" s="8"/>
    </row>
    <row r="893" spans="8:8" x14ac:dyDescent="0.25">
      <c r="H893" s="8"/>
    </row>
    <row r="894" spans="8:8" x14ac:dyDescent="0.25">
      <c r="H894" s="8"/>
    </row>
    <row r="895" spans="8:8" x14ac:dyDescent="0.25">
      <c r="H895" s="8"/>
    </row>
    <row r="896" spans="8:8" x14ac:dyDescent="0.25">
      <c r="H896" s="8"/>
    </row>
    <row r="897" spans="8:8" x14ac:dyDescent="0.25">
      <c r="H897" s="8"/>
    </row>
    <row r="898" spans="8:8" x14ac:dyDescent="0.25">
      <c r="H898" s="8"/>
    </row>
    <row r="899" spans="8:8" x14ac:dyDescent="0.25">
      <c r="H899" s="8"/>
    </row>
    <row r="900" spans="8:8" x14ac:dyDescent="0.25">
      <c r="H900" s="8"/>
    </row>
    <row r="901" spans="8:8" x14ac:dyDescent="0.25">
      <c r="H901" s="8"/>
    </row>
    <row r="902" spans="8:8" x14ac:dyDescent="0.25">
      <c r="H902" s="8"/>
    </row>
    <row r="903" spans="8:8" x14ac:dyDescent="0.25">
      <c r="H903" s="8"/>
    </row>
    <row r="904" spans="8:8" x14ac:dyDescent="0.25">
      <c r="H904" s="8"/>
    </row>
    <row r="905" spans="8:8" x14ac:dyDescent="0.25">
      <c r="H905" s="8"/>
    </row>
    <row r="906" spans="8:8" x14ac:dyDescent="0.25">
      <c r="H906" s="8"/>
    </row>
    <row r="907" spans="8:8" x14ac:dyDescent="0.25">
      <c r="H907" s="8"/>
    </row>
    <row r="908" spans="8:8" x14ac:dyDescent="0.25">
      <c r="H908" s="8"/>
    </row>
    <row r="909" spans="8:8" x14ac:dyDescent="0.25">
      <c r="H909" s="8"/>
    </row>
    <row r="910" spans="8:8" x14ac:dyDescent="0.25">
      <c r="H910" s="8"/>
    </row>
    <row r="911" spans="8:8" x14ac:dyDescent="0.25">
      <c r="H911" s="8"/>
    </row>
    <row r="912" spans="8:8" x14ac:dyDescent="0.25">
      <c r="H912" s="8"/>
    </row>
    <row r="913" spans="8:8" x14ac:dyDescent="0.25">
      <c r="H913" s="8"/>
    </row>
    <row r="914" spans="8:8" x14ac:dyDescent="0.25">
      <c r="H914" s="8"/>
    </row>
    <row r="915" spans="8:8" x14ac:dyDescent="0.25">
      <c r="H915" s="8"/>
    </row>
    <row r="916" spans="8:8" x14ac:dyDescent="0.25">
      <c r="H916" s="8"/>
    </row>
    <row r="917" spans="8:8" x14ac:dyDescent="0.25">
      <c r="H917" s="8"/>
    </row>
    <row r="918" spans="8:8" x14ac:dyDescent="0.25">
      <c r="H918" s="8"/>
    </row>
    <row r="919" spans="8:8" x14ac:dyDescent="0.25">
      <c r="H919" s="8"/>
    </row>
    <row r="920" spans="8:8" x14ac:dyDescent="0.25">
      <c r="H920" s="8"/>
    </row>
    <row r="921" spans="8:8" x14ac:dyDescent="0.25">
      <c r="H921" s="8"/>
    </row>
    <row r="922" spans="8:8" x14ac:dyDescent="0.25">
      <c r="H922" s="8"/>
    </row>
    <row r="923" spans="8:8" x14ac:dyDescent="0.25">
      <c r="H923" s="8"/>
    </row>
    <row r="924" spans="8:8" x14ac:dyDescent="0.25">
      <c r="H924" s="8"/>
    </row>
    <row r="925" spans="8:8" x14ac:dyDescent="0.25">
      <c r="H925" s="8"/>
    </row>
    <row r="926" spans="8:8" x14ac:dyDescent="0.25">
      <c r="H926" s="8"/>
    </row>
    <row r="927" spans="8:8" x14ac:dyDescent="0.25">
      <c r="H927" s="8"/>
    </row>
    <row r="928" spans="8:8" x14ac:dyDescent="0.25">
      <c r="H928" s="8"/>
    </row>
    <row r="929" spans="8:8" x14ac:dyDescent="0.25">
      <c r="H929" s="8"/>
    </row>
    <row r="930" spans="8:8" x14ac:dyDescent="0.25">
      <c r="H930" s="8"/>
    </row>
    <row r="931" spans="8:8" x14ac:dyDescent="0.25">
      <c r="H931" s="8"/>
    </row>
    <row r="932" spans="8:8" x14ac:dyDescent="0.25">
      <c r="H932" s="8"/>
    </row>
    <row r="933" spans="8:8" x14ac:dyDescent="0.25">
      <c r="H933" s="8"/>
    </row>
    <row r="934" spans="8:8" x14ac:dyDescent="0.25">
      <c r="H934" s="8"/>
    </row>
    <row r="935" spans="8:8" x14ac:dyDescent="0.25">
      <c r="H935" s="8"/>
    </row>
    <row r="936" spans="8:8" x14ac:dyDescent="0.25">
      <c r="H936" s="8"/>
    </row>
    <row r="937" spans="8:8" x14ac:dyDescent="0.25">
      <c r="H937" s="8"/>
    </row>
    <row r="938" spans="8:8" x14ac:dyDescent="0.25">
      <c r="H938" s="8"/>
    </row>
    <row r="939" spans="8:8" x14ac:dyDescent="0.25">
      <c r="H939" s="8"/>
    </row>
    <row r="940" spans="8:8" x14ac:dyDescent="0.25">
      <c r="H940" s="8"/>
    </row>
    <row r="941" spans="8:8" x14ac:dyDescent="0.25">
      <c r="H941" s="8"/>
    </row>
    <row r="942" spans="8:8" x14ac:dyDescent="0.25">
      <c r="H942" s="8"/>
    </row>
    <row r="943" spans="8:8" x14ac:dyDescent="0.25">
      <c r="H943" s="8"/>
    </row>
    <row r="944" spans="8:8" x14ac:dyDescent="0.25">
      <c r="H944" s="8"/>
    </row>
    <row r="945" spans="8:8" x14ac:dyDescent="0.25">
      <c r="H945" s="8"/>
    </row>
    <row r="946" spans="8:8" x14ac:dyDescent="0.25">
      <c r="H946" s="8"/>
    </row>
    <row r="947" spans="8:8" x14ac:dyDescent="0.25">
      <c r="H947" s="8"/>
    </row>
    <row r="948" spans="8:8" x14ac:dyDescent="0.25">
      <c r="H948" s="8"/>
    </row>
    <row r="949" spans="8:8" x14ac:dyDescent="0.25">
      <c r="H949" s="8"/>
    </row>
    <row r="950" spans="8:8" x14ac:dyDescent="0.25">
      <c r="H950" s="8"/>
    </row>
    <row r="951" spans="8:8" x14ac:dyDescent="0.25">
      <c r="H951" s="8"/>
    </row>
    <row r="952" spans="8:8" x14ac:dyDescent="0.25">
      <c r="H952" s="8"/>
    </row>
    <row r="953" spans="8:8" x14ac:dyDescent="0.25">
      <c r="H953" s="8"/>
    </row>
    <row r="954" spans="8:8" x14ac:dyDescent="0.25">
      <c r="H954" s="8"/>
    </row>
    <row r="955" spans="8:8" x14ac:dyDescent="0.25">
      <c r="H955" s="8"/>
    </row>
    <row r="956" spans="8:8" x14ac:dyDescent="0.25">
      <c r="H956" s="8"/>
    </row>
    <row r="957" spans="8:8" x14ac:dyDescent="0.25">
      <c r="H957" s="8"/>
    </row>
    <row r="958" spans="8:8" x14ac:dyDescent="0.25">
      <c r="H958" s="8"/>
    </row>
    <row r="959" spans="8:8" x14ac:dyDescent="0.25">
      <c r="H959" s="8"/>
    </row>
    <row r="960" spans="8:8" x14ac:dyDescent="0.25">
      <c r="H960" s="8"/>
    </row>
    <row r="961" spans="8:8" x14ac:dyDescent="0.25">
      <c r="H961" s="8"/>
    </row>
    <row r="962" spans="8:8" x14ac:dyDescent="0.25">
      <c r="H962" s="8"/>
    </row>
    <row r="963" spans="8:8" x14ac:dyDescent="0.25">
      <c r="H963" s="8"/>
    </row>
    <row r="964" spans="8:8" x14ac:dyDescent="0.25">
      <c r="H964" s="8"/>
    </row>
    <row r="965" spans="8:8" x14ac:dyDescent="0.25">
      <c r="H965" s="8"/>
    </row>
    <row r="966" spans="8:8" x14ac:dyDescent="0.25">
      <c r="H966" s="8"/>
    </row>
    <row r="967" spans="8:8" x14ac:dyDescent="0.25">
      <c r="H967" s="8"/>
    </row>
    <row r="968" spans="8:8" x14ac:dyDescent="0.25">
      <c r="H968" s="8"/>
    </row>
    <row r="969" spans="8:8" x14ac:dyDescent="0.25">
      <c r="H969" s="8"/>
    </row>
    <row r="970" spans="8:8" x14ac:dyDescent="0.25">
      <c r="H970" s="8"/>
    </row>
    <row r="971" spans="8:8" x14ac:dyDescent="0.25">
      <c r="H971" s="8"/>
    </row>
    <row r="972" spans="8:8" x14ac:dyDescent="0.25">
      <c r="H972" s="8"/>
    </row>
    <row r="973" spans="8:8" x14ac:dyDescent="0.25">
      <c r="H973" s="8"/>
    </row>
    <row r="974" spans="8:8" x14ac:dyDescent="0.25">
      <c r="H974" s="8"/>
    </row>
    <row r="975" spans="8:8" x14ac:dyDescent="0.25">
      <c r="H975" s="8"/>
    </row>
    <row r="976" spans="8:8" x14ac:dyDescent="0.25">
      <c r="H976" s="8"/>
    </row>
    <row r="977" spans="8:8" x14ac:dyDescent="0.25">
      <c r="H977" s="8"/>
    </row>
    <row r="978" spans="8:8" x14ac:dyDescent="0.25">
      <c r="H978" s="8"/>
    </row>
    <row r="979" spans="8:8" x14ac:dyDescent="0.25">
      <c r="H979" s="8"/>
    </row>
    <row r="980" spans="8:8" x14ac:dyDescent="0.25">
      <c r="H980" s="8"/>
    </row>
    <row r="981" spans="8:8" x14ac:dyDescent="0.25">
      <c r="H981" s="8"/>
    </row>
    <row r="982" spans="8:8" x14ac:dyDescent="0.25">
      <c r="H982" s="8"/>
    </row>
    <row r="983" spans="8:8" x14ac:dyDescent="0.25">
      <c r="H983" s="8"/>
    </row>
    <row r="984" spans="8:8" x14ac:dyDescent="0.25">
      <c r="H984" s="8"/>
    </row>
    <row r="985" spans="8:8" x14ac:dyDescent="0.25">
      <c r="H985" s="8"/>
    </row>
    <row r="986" spans="8:8" x14ac:dyDescent="0.25">
      <c r="H986" s="8"/>
    </row>
    <row r="987" spans="8:8" x14ac:dyDescent="0.25">
      <c r="H987" s="8"/>
    </row>
    <row r="988" spans="8:8" x14ac:dyDescent="0.25">
      <c r="H988" s="8"/>
    </row>
    <row r="989" spans="8:8" x14ac:dyDescent="0.25">
      <c r="H989" s="8"/>
    </row>
    <row r="990" spans="8:8" x14ac:dyDescent="0.25">
      <c r="H990" s="8"/>
    </row>
    <row r="991" spans="8:8" x14ac:dyDescent="0.25">
      <c r="H991" s="8"/>
    </row>
    <row r="992" spans="8:8" x14ac:dyDescent="0.25">
      <c r="H992" s="8"/>
    </row>
    <row r="993" spans="8:8" x14ac:dyDescent="0.25">
      <c r="H993" s="8"/>
    </row>
    <row r="994" spans="8:8" x14ac:dyDescent="0.25">
      <c r="H994" s="8"/>
    </row>
    <row r="995" spans="8:8" x14ac:dyDescent="0.25">
      <c r="H995" s="8"/>
    </row>
    <row r="996" spans="8:8" x14ac:dyDescent="0.25">
      <c r="H996" s="8"/>
    </row>
    <row r="997" spans="8:8" x14ac:dyDescent="0.25">
      <c r="H997" s="8"/>
    </row>
    <row r="998" spans="8:8" x14ac:dyDescent="0.25">
      <c r="H998" s="8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D274D8-6CE9-7043-A999-FDF066F3C103}">
  <sheetPr codeName="Sheet4">
    <tabColor rgb="FFFFFF00"/>
    <outlinePr summaryBelow="0" summaryRight="0"/>
  </sheetPr>
  <dimension ref="A1:U994"/>
  <sheetViews>
    <sheetView topLeftCell="D311" zoomScale="110" zoomScaleNormal="110" workbookViewId="0">
      <selection activeCell="E23" sqref="E23"/>
    </sheetView>
  </sheetViews>
  <sheetFormatPr baseColWidth="10" defaultColWidth="12.6640625" defaultRowHeight="19" x14ac:dyDescent="0.25"/>
  <cols>
    <col min="1" max="1" width="30.6640625" style="4" bestFit="1" customWidth="1"/>
    <col min="2" max="2" width="8.6640625" style="4" bestFit="1" customWidth="1"/>
    <col min="3" max="3" width="8" style="4" bestFit="1" customWidth="1"/>
    <col min="4" max="4" width="18.5" style="4" bestFit="1" customWidth="1"/>
    <col min="5" max="6" width="10.5" style="4" bestFit="1" customWidth="1"/>
    <col min="7" max="7" width="11.1640625" style="4" bestFit="1" customWidth="1"/>
    <col min="8" max="8" width="13.1640625" style="4" bestFit="1" customWidth="1"/>
    <col min="9" max="9" width="9" style="4" bestFit="1" customWidth="1"/>
    <col min="10" max="10" width="15" style="4" bestFit="1" customWidth="1"/>
    <col min="11" max="11" width="11.6640625" style="4" bestFit="1" customWidth="1"/>
    <col min="12" max="12" width="8.6640625" style="4" bestFit="1" customWidth="1"/>
    <col min="13" max="13" width="12.6640625" style="4"/>
    <col min="14" max="14" width="14.1640625" style="15" bestFit="1" customWidth="1"/>
    <col min="15" max="15" width="20.1640625" style="15" bestFit="1" customWidth="1"/>
    <col min="16" max="16" width="18" style="15" bestFit="1" customWidth="1"/>
    <col min="17" max="17" width="24.1640625" style="15" bestFit="1" customWidth="1"/>
    <col min="18" max="18" width="16.83203125" style="15" bestFit="1" customWidth="1"/>
    <col min="19" max="19" width="18.1640625" style="15" bestFit="1" customWidth="1"/>
    <col min="20" max="20" width="10.5" style="15" bestFit="1" customWidth="1"/>
    <col min="21" max="16384" width="12.6640625" style="15"/>
  </cols>
  <sheetData>
    <row r="1" spans="1:21" s="4" customFormat="1" ht="20" thickBot="1" x14ac:dyDescent="0.3">
      <c r="A1" s="1" t="s">
        <v>0</v>
      </c>
      <c r="B1" s="1" t="s">
        <v>1</v>
      </c>
      <c r="C1" s="1" t="s">
        <v>97</v>
      </c>
      <c r="D1" s="1" t="s">
        <v>2</v>
      </c>
      <c r="E1" s="1" t="s">
        <v>3</v>
      </c>
      <c r="F1" s="1" t="s">
        <v>5</v>
      </c>
      <c r="G1" s="1" t="s">
        <v>98</v>
      </c>
      <c r="H1" s="2" t="s">
        <v>99</v>
      </c>
      <c r="I1" s="1" t="s">
        <v>100</v>
      </c>
      <c r="J1" s="1" t="s">
        <v>101</v>
      </c>
      <c r="K1" s="1" t="s">
        <v>102</v>
      </c>
      <c r="L1" s="1" t="s">
        <v>103</v>
      </c>
      <c r="M1" s="3"/>
      <c r="N1" s="9" t="s">
        <v>8</v>
      </c>
      <c r="O1" s="9" t="s">
        <v>104</v>
      </c>
      <c r="P1" s="9" t="s">
        <v>105</v>
      </c>
      <c r="Q1" s="9" t="s">
        <v>106</v>
      </c>
      <c r="R1" s="9" t="s">
        <v>107</v>
      </c>
      <c r="S1" s="9" t="s">
        <v>11</v>
      </c>
      <c r="T1" s="9" t="s">
        <v>12</v>
      </c>
      <c r="U1" s="3"/>
    </row>
    <row r="2" spans="1:21" s="4" customFormat="1" ht="20" thickBot="1" x14ac:dyDescent="0.3">
      <c r="A2" s="4" t="s">
        <v>108</v>
      </c>
      <c r="B2" s="4" t="s">
        <v>29</v>
      </c>
      <c r="C2" s="4" t="s">
        <v>109</v>
      </c>
      <c r="D2" s="4" t="s">
        <v>50</v>
      </c>
      <c r="E2" s="4">
        <v>21</v>
      </c>
      <c r="F2" s="4">
        <v>2880</v>
      </c>
      <c r="G2" s="4">
        <v>434</v>
      </c>
      <c r="H2" s="7">
        <v>0.26</v>
      </c>
      <c r="I2" s="4">
        <v>86</v>
      </c>
      <c r="J2" s="4">
        <v>2</v>
      </c>
      <c r="K2" s="4">
        <v>8</v>
      </c>
      <c r="L2" s="4">
        <v>0</v>
      </c>
      <c r="M2" s="6"/>
      <c r="N2" s="10">
        <f>IFERROR(_xlfn.IFS(F2&gt;=F$326,1,F2&gt;=F$325,0.5),0)</f>
        <v>1</v>
      </c>
      <c r="O2" s="10">
        <f>IFERROR(_xlfn.IFS(AND(G2&gt;=G$326,H2&gt;=H$326),1,AND(G2&gt;=G$325,H2&gt;=H$325),0.5),0)</f>
        <v>0</v>
      </c>
      <c r="P2" s="10">
        <f>IFERROR(_xlfn.IFS(I2&gt;=I$326,1,I2&gt;=I$325,0.5),0)</f>
        <v>1</v>
      </c>
      <c r="Q2" s="10">
        <f>IFERROR(_xlfn.IFS(J2&gt;=J$326,1,J2&gt;=J$325,0.5),0)</f>
        <v>0.5</v>
      </c>
      <c r="R2" s="10">
        <f>IFERROR(_xlfn.IFS(AND(K2&lt;=K$326,L2&lt;=L$326),1,AND(K2&lt;=K$325,L2&lt;=L$325),0.5),0)</f>
        <v>0</v>
      </c>
      <c r="S2" s="10">
        <f>SUM(N2:R2)</f>
        <v>2.5</v>
      </c>
      <c r="T2" s="10" t="str">
        <f>_xlfn.IFS(S2=0,"☆",S2=0.5,"☆½",  S2=1,"★",S2 =1.5,"★½", S2 =2.5,"★★½", S2=2,"★★", S2=3,"★★★", S2 =3.5,"★★★½",S2=4,"★★★★", S2 =4.5,"★★★★½", S2=5,"★★★★★")</f>
        <v>★★½</v>
      </c>
    </row>
    <row r="3" spans="1:21" s="4" customFormat="1" ht="20" thickBot="1" x14ac:dyDescent="0.3">
      <c r="A3" s="4" t="s">
        <v>110</v>
      </c>
      <c r="B3" s="4" t="s">
        <v>17</v>
      </c>
      <c r="C3" s="4" t="s">
        <v>109</v>
      </c>
      <c r="D3" s="4" t="s">
        <v>81</v>
      </c>
      <c r="E3" s="4">
        <v>20</v>
      </c>
      <c r="F3" s="4">
        <v>1827</v>
      </c>
      <c r="G3" s="4">
        <v>402</v>
      </c>
      <c r="H3" s="5">
        <v>0.33600000000000002</v>
      </c>
      <c r="I3" s="4">
        <v>34</v>
      </c>
      <c r="J3" s="4">
        <v>3</v>
      </c>
      <c r="K3" s="4">
        <v>4</v>
      </c>
      <c r="L3" s="4">
        <v>0</v>
      </c>
      <c r="M3" s="6"/>
      <c r="N3" s="10">
        <f t="shared" ref="N3:N66" si="0">IFERROR(_xlfn.IFS(F3&gt;=F$326,1,F3&gt;=F$325,0.5),0)</f>
        <v>1</v>
      </c>
      <c r="O3" s="10">
        <f t="shared" ref="O3:O66" si="1">IFERROR(_xlfn.IFS(AND(G3&gt;=G$326,H3&gt;=H$326),1,AND(G3&gt;=G$325,H3&gt;=H$325),0.5),0)</f>
        <v>1</v>
      </c>
      <c r="P3" s="10">
        <f t="shared" ref="P3:Q66" si="2">IFERROR(_xlfn.IFS(I3&gt;=I$326,1,I3&gt;=I$325,0.5),0)</f>
        <v>1</v>
      </c>
      <c r="Q3" s="10">
        <f t="shared" si="2"/>
        <v>1</v>
      </c>
      <c r="R3" s="10">
        <f t="shared" ref="R3:R66" si="3">IFERROR(_xlfn.IFS(AND(K3&lt;=K$326,L3&lt;=L$326),1,AND(K3&lt;=K$325,L3&lt;=L$325),0.5),0)</f>
        <v>0</v>
      </c>
      <c r="S3" s="10">
        <f t="shared" ref="S3:S66" si="4">SUM(N3:R3)</f>
        <v>4</v>
      </c>
      <c r="T3" s="10" t="str">
        <f t="shared" ref="T3:T66" si="5">_xlfn.IFS(S3=0,"☆",S3=0.5,"☆½",  S3=1,"★",S3 =1.5,"★½", S3 =2.5,"★★½", S3=2,"★★", S3=3,"★★★", S3 =3.5,"★★★½",S3=4,"★★★★", S3 =4.5,"★★★★½", S3=5,"★★★★★")</f>
        <v>★★★★</v>
      </c>
    </row>
    <row r="4" spans="1:21" s="4" customFormat="1" ht="20" thickBot="1" x14ac:dyDescent="0.3">
      <c r="A4" s="4" t="s">
        <v>111</v>
      </c>
      <c r="B4" s="4" t="s">
        <v>57</v>
      </c>
      <c r="C4" s="4" t="s">
        <v>109</v>
      </c>
      <c r="D4" s="4" t="s">
        <v>43</v>
      </c>
      <c r="E4" s="4">
        <v>23</v>
      </c>
      <c r="F4" s="4">
        <v>1998</v>
      </c>
      <c r="G4" s="4">
        <v>206</v>
      </c>
      <c r="H4" s="5">
        <v>0.35399999999999998</v>
      </c>
      <c r="I4" s="4">
        <v>36</v>
      </c>
      <c r="J4" s="4">
        <v>4</v>
      </c>
      <c r="K4" s="4">
        <v>5</v>
      </c>
      <c r="L4" s="4">
        <v>0</v>
      </c>
      <c r="M4" s="6"/>
      <c r="N4" s="10">
        <f t="shared" si="0"/>
        <v>1</v>
      </c>
      <c r="O4" s="10">
        <f t="shared" si="1"/>
        <v>0.5</v>
      </c>
      <c r="P4" s="10">
        <f t="shared" si="2"/>
        <v>1</v>
      </c>
      <c r="Q4" s="10">
        <f t="shared" si="2"/>
        <v>1</v>
      </c>
      <c r="R4" s="10">
        <f t="shared" si="3"/>
        <v>0</v>
      </c>
      <c r="S4" s="10">
        <f t="shared" si="4"/>
        <v>3.5</v>
      </c>
      <c r="T4" s="10" t="str">
        <f t="shared" si="5"/>
        <v>★★★½</v>
      </c>
    </row>
    <row r="5" spans="1:21" s="4" customFormat="1" ht="20" thickBot="1" x14ac:dyDescent="0.3">
      <c r="A5" s="4" t="s">
        <v>112</v>
      </c>
      <c r="B5" s="4" t="s">
        <v>60</v>
      </c>
      <c r="C5" s="4" t="s">
        <v>109</v>
      </c>
      <c r="D5" s="4" t="s">
        <v>39</v>
      </c>
      <c r="E5" s="4">
        <v>26</v>
      </c>
      <c r="F5" s="4">
        <v>927.00000000000011</v>
      </c>
      <c r="G5" s="4">
        <v>70</v>
      </c>
      <c r="H5" s="5">
        <v>0.32900000000000001</v>
      </c>
      <c r="I5" s="4">
        <v>12</v>
      </c>
      <c r="J5" s="4">
        <v>2</v>
      </c>
      <c r="K5" s="4">
        <v>0</v>
      </c>
      <c r="L5" s="4">
        <v>0</v>
      </c>
      <c r="M5" s="6"/>
      <c r="N5" s="10">
        <f t="shared" si="0"/>
        <v>0</v>
      </c>
      <c r="O5" s="10">
        <f t="shared" si="1"/>
        <v>0</v>
      </c>
      <c r="P5" s="10">
        <f t="shared" si="2"/>
        <v>0</v>
      </c>
      <c r="Q5" s="10">
        <f t="shared" si="2"/>
        <v>0.5</v>
      </c>
      <c r="R5" s="10">
        <f t="shared" si="3"/>
        <v>1</v>
      </c>
      <c r="S5" s="10">
        <f t="shared" si="4"/>
        <v>1.5</v>
      </c>
      <c r="T5" s="10" t="str">
        <f t="shared" si="5"/>
        <v>★½</v>
      </c>
    </row>
    <row r="6" spans="1:21" s="4" customFormat="1" ht="20" thickBot="1" x14ac:dyDescent="0.3">
      <c r="A6" s="4" t="s">
        <v>113</v>
      </c>
      <c r="B6" s="4" t="s">
        <v>29</v>
      </c>
      <c r="C6" s="4" t="s">
        <v>114</v>
      </c>
      <c r="D6" s="4" t="s">
        <v>87</v>
      </c>
      <c r="E6" s="4">
        <v>31</v>
      </c>
      <c r="F6" s="4">
        <v>1134</v>
      </c>
      <c r="G6" s="4">
        <v>289</v>
      </c>
      <c r="H6" s="5">
        <v>0.218</v>
      </c>
      <c r="I6" s="4">
        <v>27</v>
      </c>
      <c r="J6" s="4">
        <v>3</v>
      </c>
      <c r="K6" s="4">
        <v>3</v>
      </c>
      <c r="L6" s="4">
        <v>0</v>
      </c>
      <c r="M6" s="6"/>
      <c r="N6" s="10">
        <f t="shared" si="0"/>
        <v>0</v>
      </c>
      <c r="O6" s="10">
        <f t="shared" si="1"/>
        <v>0</v>
      </c>
      <c r="P6" s="10">
        <f t="shared" si="2"/>
        <v>0</v>
      </c>
      <c r="Q6" s="10">
        <f t="shared" si="2"/>
        <v>1</v>
      </c>
      <c r="R6" s="10">
        <f t="shared" si="3"/>
        <v>0</v>
      </c>
      <c r="S6" s="10">
        <f t="shared" si="4"/>
        <v>1</v>
      </c>
      <c r="T6" s="10" t="str">
        <f t="shared" si="5"/>
        <v>★</v>
      </c>
    </row>
    <row r="7" spans="1:21" s="4" customFormat="1" ht="20" thickBot="1" x14ac:dyDescent="0.3">
      <c r="A7" s="4" t="s">
        <v>115</v>
      </c>
      <c r="B7" s="4" t="s">
        <v>20</v>
      </c>
      <c r="C7" s="4" t="s">
        <v>116</v>
      </c>
      <c r="D7" s="4" t="s">
        <v>15</v>
      </c>
      <c r="E7" s="4">
        <v>30</v>
      </c>
      <c r="F7" s="4">
        <v>1530</v>
      </c>
      <c r="G7" s="4">
        <v>319</v>
      </c>
      <c r="H7" s="5">
        <v>0.36699999999999999</v>
      </c>
      <c r="I7" s="4">
        <v>26</v>
      </c>
      <c r="J7" s="4">
        <v>5</v>
      </c>
      <c r="K7" s="4">
        <v>2</v>
      </c>
      <c r="L7" s="4">
        <v>0</v>
      </c>
      <c r="M7" s="6"/>
      <c r="N7" s="10">
        <f t="shared" si="0"/>
        <v>1</v>
      </c>
      <c r="O7" s="10">
        <f t="shared" si="1"/>
        <v>1</v>
      </c>
      <c r="P7" s="10">
        <f t="shared" si="2"/>
        <v>0</v>
      </c>
      <c r="Q7" s="10">
        <f t="shared" si="2"/>
        <v>1</v>
      </c>
      <c r="R7" s="10">
        <f t="shared" si="3"/>
        <v>1</v>
      </c>
      <c r="S7" s="10">
        <f t="shared" si="4"/>
        <v>4</v>
      </c>
      <c r="T7" s="10" t="str">
        <f t="shared" si="5"/>
        <v>★★★★</v>
      </c>
    </row>
    <row r="8" spans="1:21" s="4" customFormat="1" ht="20" thickBot="1" x14ac:dyDescent="0.3">
      <c r="A8" s="4" t="s">
        <v>117</v>
      </c>
      <c r="B8" s="4" t="s">
        <v>29</v>
      </c>
      <c r="C8" s="4" t="s">
        <v>109</v>
      </c>
      <c r="D8" s="4" t="s">
        <v>15</v>
      </c>
      <c r="E8" s="4">
        <v>22</v>
      </c>
      <c r="F8" s="4">
        <v>2853</v>
      </c>
      <c r="G8" s="4">
        <v>288</v>
      </c>
      <c r="H8" s="5">
        <v>0.33700000000000002</v>
      </c>
      <c r="I8" s="4">
        <v>39</v>
      </c>
      <c r="J8" s="4">
        <v>14</v>
      </c>
      <c r="K8" s="4">
        <v>2</v>
      </c>
      <c r="L8" s="4">
        <v>0</v>
      </c>
      <c r="M8" s="6"/>
      <c r="N8" s="10">
        <f t="shared" si="0"/>
        <v>1</v>
      </c>
      <c r="O8" s="10">
        <f t="shared" si="1"/>
        <v>1</v>
      </c>
      <c r="P8" s="10">
        <f t="shared" si="2"/>
        <v>1</v>
      </c>
      <c r="Q8" s="10">
        <f t="shared" si="2"/>
        <v>1</v>
      </c>
      <c r="R8" s="10">
        <f t="shared" si="3"/>
        <v>1</v>
      </c>
      <c r="S8" s="10">
        <f t="shared" si="4"/>
        <v>5</v>
      </c>
      <c r="T8" s="10" t="str">
        <f t="shared" si="5"/>
        <v>★★★★★</v>
      </c>
    </row>
    <row r="9" spans="1:21" s="4" customFormat="1" ht="20" thickBot="1" x14ac:dyDescent="0.3">
      <c r="A9" s="4" t="s">
        <v>118</v>
      </c>
      <c r="B9" s="4" t="s">
        <v>14</v>
      </c>
      <c r="C9" s="4" t="s">
        <v>116</v>
      </c>
      <c r="D9" s="4" t="s">
        <v>27</v>
      </c>
      <c r="E9" s="4">
        <v>30</v>
      </c>
      <c r="F9" s="4">
        <v>2187</v>
      </c>
      <c r="G9" s="4">
        <v>648</v>
      </c>
      <c r="H9" s="5">
        <v>0.315</v>
      </c>
      <c r="I9" s="4">
        <v>46</v>
      </c>
      <c r="J9" s="4">
        <v>2</v>
      </c>
      <c r="K9" s="4">
        <v>7</v>
      </c>
      <c r="L9" s="4">
        <v>1</v>
      </c>
      <c r="M9" s="6"/>
      <c r="N9" s="10">
        <f t="shared" si="0"/>
        <v>1</v>
      </c>
      <c r="O9" s="10">
        <f t="shared" si="1"/>
        <v>1</v>
      </c>
      <c r="P9" s="10">
        <f t="shared" si="2"/>
        <v>1</v>
      </c>
      <c r="Q9" s="10">
        <f t="shared" si="2"/>
        <v>0.5</v>
      </c>
      <c r="R9" s="10">
        <f t="shared" si="3"/>
        <v>0</v>
      </c>
      <c r="S9" s="10">
        <f t="shared" si="4"/>
        <v>3.5</v>
      </c>
      <c r="T9" s="10" t="str">
        <f t="shared" si="5"/>
        <v>★★★½</v>
      </c>
    </row>
    <row r="10" spans="1:21" s="4" customFormat="1" ht="20" thickBot="1" x14ac:dyDescent="0.3">
      <c r="A10" s="4" t="s">
        <v>119</v>
      </c>
      <c r="B10" s="4" t="s">
        <v>29</v>
      </c>
      <c r="C10" s="4" t="s">
        <v>116</v>
      </c>
      <c r="D10" s="4" t="s">
        <v>27</v>
      </c>
      <c r="E10" s="4">
        <v>25</v>
      </c>
      <c r="F10" s="4">
        <v>342</v>
      </c>
      <c r="G10" s="4">
        <v>127</v>
      </c>
      <c r="H10" s="5">
        <v>0.26800000000000002</v>
      </c>
      <c r="I10" s="4">
        <v>9</v>
      </c>
      <c r="J10" s="4">
        <v>0</v>
      </c>
      <c r="K10" s="4">
        <v>3</v>
      </c>
      <c r="L10" s="4">
        <v>0</v>
      </c>
      <c r="M10" s="6"/>
      <c r="N10" s="10">
        <f t="shared" si="0"/>
        <v>0</v>
      </c>
      <c r="O10" s="10">
        <f t="shared" si="1"/>
        <v>0</v>
      </c>
      <c r="P10" s="10">
        <f t="shared" si="2"/>
        <v>0</v>
      </c>
      <c r="Q10" s="10">
        <f t="shared" si="2"/>
        <v>0.5</v>
      </c>
      <c r="R10" s="10">
        <f t="shared" si="3"/>
        <v>0</v>
      </c>
      <c r="S10" s="10">
        <f t="shared" si="4"/>
        <v>0.5</v>
      </c>
      <c r="T10" s="10" t="str">
        <f t="shared" si="5"/>
        <v>☆½</v>
      </c>
    </row>
    <row r="11" spans="1:21" s="4" customFormat="1" ht="20" thickBot="1" x14ac:dyDescent="0.3">
      <c r="A11" s="4" t="s">
        <v>120</v>
      </c>
      <c r="B11" s="4" t="s">
        <v>20</v>
      </c>
      <c r="C11" s="4" t="s">
        <v>109</v>
      </c>
      <c r="D11" s="4" t="s">
        <v>21</v>
      </c>
      <c r="E11" s="4">
        <v>30</v>
      </c>
      <c r="F11" s="4">
        <v>2169</v>
      </c>
      <c r="G11" s="4">
        <v>300</v>
      </c>
      <c r="H11" s="5">
        <v>0.28299999999999997</v>
      </c>
      <c r="I11" s="4">
        <v>39</v>
      </c>
      <c r="J11" s="4">
        <v>8</v>
      </c>
      <c r="K11" s="4">
        <v>8</v>
      </c>
      <c r="L11" s="4">
        <v>0</v>
      </c>
      <c r="M11" s="6"/>
      <c r="N11" s="10">
        <f t="shared" si="0"/>
        <v>1</v>
      </c>
      <c r="O11" s="10">
        <f t="shared" si="1"/>
        <v>0</v>
      </c>
      <c r="P11" s="10">
        <f t="shared" si="2"/>
        <v>1</v>
      </c>
      <c r="Q11" s="10">
        <f t="shared" si="2"/>
        <v>1</v>
      </c>
      <c r="R11" s="10">
        <f t="shared" si="3"/>
        <v>0</v>
      </c>
      <c r="S11" s="10">
        <f t="shared" si="4"/>
        <v>3</v>
      </c>
      <c r="T11" s="10" t="str">
        <f t="shared" si="5"/>
        <v>★★★</v>
      </c>
    </row>
    <row r="12" spans="1:21" s="4" customFormat="1" ht="20" thickBot="1" x14ac:dyDescent="0.3">
      <c r="A12" s="4" t="s">
        <v>121</v>
      </c>
      <c r="B12" s="4" t="s">
        <v>122</v>
      </c>
      <c r="C12" s="4" t="s">
        <v>116</v>
      </c>
      <c r="D12" s="4" t="s">
        <v>85</v>
      </c>
      <c r="E12" s="4">
        <v>22</v>
      </c>
      <c r="F12" s="4">
        <v>405</v>
      </c>
      <c r="G12" s="4">
        <v>79</v>
      </c>
      <c r="H12" s="5">
        <v>0.253</v>
      </c>
      <c r="I12" s="4">
        <v>5</v>
      </c>
      <c r="J12" s="4">
        <v>0</v>
      </c>
      <c r="K12" s="4">
        <v>0</v>
      </c>
      <c r="L12" s="4">
        <v>0</v>
      </c>
      <c r="M12" s="6"/>
      <c r="N12" s="10">
        <f t="shared" si="0"/>
        <v>0</v>
      </c>
      <c r="O12" s="10">
        <f t="shared" si="1"/>
        <v>0</v>
      </c>
      <c r="P12" s="10">
        <f t="shared" si="2"/>
        <v>0</v>
      </c>
      <c r="Q12" s="10">
        <f t="shared" si="2"/>
        <v>0.5</v>
      </c>
      <c r="R12" s="10">
        <f t="shared" si="3"/>
        <v>1</v>
      </c>
      <c r="S12" s="10">
        <f t="shared" si="4"/>
        <v>1.5</v>
      </c>
      <c r="T12" s="10" t="str">
        <f t="shared" si="5"/>
        <v>★½</v>
      </c>
    </row>
    <row r="13" spans="1:21" s="4" customFormat="1" ht="20" thickBot="1" x14ac:dyDescent="0.3">
      <c r="A13" s="4" t="s">
        <v>123</v>
      </c>
      <c r="B13" s="4" t="s">
        <v>124</v>
      </c>
      <c r="C13" s="4" t="s">
        <v>109</v>
      </c>
      <c r="D13" s="4" t="s">
        <v>87</v>
      </c>
      <c r="E13" s="4">
        <v>26</v>
      </c>
      <c r="F13" s="4">
        <v>2124</v>
      </c>
      <c r="G13" s="4">
        <v>172</v>
      </c>
      <c r="H13" s="5">
        <v>0.314</v>
      </c>
      <c r="I13" s="4">
        <v>48</v>
      </c>
      <c r="J13" s="4">
        <v>0</v>
      </c>
      <c r="K13" s="4">
        <v>4</v>
      </c>
      <c r="L13" s="4">
        <v>0</v>
      </c>
      <c r="M13" s="6"/>
      <c r="N13" s="10">
        <f t="shared" si="0"/>
        <v>1</v>
      </c>
      <c r="O13" s="10">
        <f t="shared" si="1"/>
        <v>0</v>
      </c>
      <c r="P13" s="10">
        <f t="shared" si="2"/>
        <v>1</v>
      </c>
      <c r="Q13" s="10">
        <f t="shared" si="2"/>
        <v>0.5</v>
      </c>
      <c r="R13" s="10">
        <f t="shared" si="3"/>
        <v>0</v>
      </c>
      <c r="S13" s="10">
        <f t="shared" si="4"/>
        <v>2.5</v>
      </c>
      <c r="T13" s="10" t="str">
        <f t="shared" si="5"/>
        <v>★★½</v>
      </c>
    </row>
    <row r="14" spans="1:21" s="4" customFormat="1" ht="20" thickBot="1" x14ac:dyDescent="0.3">
      <c r="A14" s="4" t="s">
        <v>125</v>
      </c>
      <c r="B14" s="4" t="s">
        <v>67</v>
      </c>
      <c r="C14" s="4" t="s">
        <v>109</v>
      </c>
      <c r="D14" s="4" t="s">
        <v>30</v>
      </c>
      <c r="E14" s="4">
        <v>25</v>
      </c>
      <c r="F14" s="4">
        <v>2916</v>
      </c>
      <c r="G14" s="4">
        <v>157</v>
      </c>
      <c r="H14" s="5">
        <v>0.36899999999999999</v>
      </c>
      <c r="I14" s="4">
        <v>41</v>
      </c>
      <c r="J14" s="4">
        <v>3</v>
      </c>
      <c r="K14" s="4">
        <v>4</v>
      </c>
      <c r="L14" s="4">
        <v>0</v>
      </c>
      <c r="M14" s="6"/>
      <c r="N14" s="10">
        <f t="shared" si="0"/>
        <v>1</v>
      </c>
      <c r="O14" s="10">
        <f t="shared" si="1"/>
        <v>0</v>
      </c>
      <c r="P14" s="10">
        <f t="shared" si="2"/>
        <v>1</v>
      </c>
      <c r="Q14" s="10">
        <f t="shared" si="2"/>
        <v>1</v>
      </c>
      <c r="R14" s="10">
        <f t="shared" si="3"/>
        <v>0</v>
      </c>
      <c r="S14" s="10">
        <f t="shared" si="4"/>
        <v>3</v>
      </c>
      <c r="T14" s="10" t="str">
        <f t="shared" si="5"/>
        <v>★★★</v>
      </c>
    </row>
    <row r="15" spans="1:21" s="4" customFormat="1" ht="20" thickBot="1" x14ac:dyDescent="0.3">
      <c r="A15" s="4" t="s">
        <v>126</v>
      </c>
      <c r="B15" s="4" t="s">
        <v>127</v>
      </c>
      <c r="C15" s="4" t="s">
        <v>116</v>
      </c>
      <c r="D15" s="4" t="s">
        <v>33</v>
      </c>
      <c r="E15" s="4">
        <v>29</v>
      </c>
      <c r="F15" s="4">
        <v>1475.9999999999998</v>
      </c>
      <c r="G15" s="4">
        <v>266</v>
      </c>
      <c r="H15" s="7">
        <v>0.32</v>
      </c>
      <c r="I15" s="4">
        <v>17</v>
      </c>
      <c r="J15" s="4">
        <v>2</v>
      </c>
      <c r="K15" s="4">
        <v>1</v>
      </c>
      <c r="L15" s="4">
        <v>0</v>
      </c>
      <c r="M15" s="6"/>
      <c r="N15" s="10">
        <f t="shared" si="0"/>
        <v>1</v>
      </c>
      <c r="O15" s="10">
        <f t="shared" si="1"/>
        <v>1</v>
      </c>
      <c r="P15" s="10">
        <f t="shared" si="2"/>
        <v>0</v>
      </c>
      <c r="Q15" s="10">
        <f t="shared" si="2"/>
        <v>0.5</v>
      </c>
      <c r="R15" s="10">
        <f t="shared" si="3"/>
        <v>1</v>
      </c>
      <c r="S15" s="10">
        <f t="shared" si="4"/>
        <v>3.5</v>
      </c>
      <c r="T15" s="10" t="str">
        <f t="shared" si="5"/>
        <v>★★★½</v>
      </c>
    </row>
    <row r="16" spans="1:21" s="4" customFormat="1" ht="20" thickBot="1" x14ac:dyDescent="0.3">
      <c r="A16" s="4" t="s">
        <v>128</v>
      </c>
      <c r="B16" s="4" t="s">
        <v>127</v>
      </c>
      <c r="C16" s="4" t="s">
        <v>109</v>
      </c>
      <c r="D16" s="4" t="s">
        <v>18</v>
      </c>
      <c r="E16" s="4">
        <v>19</v>
      </c>
      <c r="F16" s="4">
        <v>9</v>
      </c>
      <c r="G16" s="4">
        <v>0</v>
      </c>
      <c r="H16" s="11" t="s">
        <v>129</v>
      </c>
      <c r="I16" s="4">
        <v>1</v>
      </c>
      <c r="J16" s="4">
        <v>0</v>
      </c>
      <c r="K16" s="4">
        <v>0</v>
      </c>
      <c r="L16" s="4">
        <v>0</v>
      </c>
      <c r="M16" s="6"/>
      <c r="N16" s="10">
        <f t="shared" si="0"/>
        <v>0</v>
      </c>
      <c r="O16" s="10">
        <f t="shared" si="1"/>
        <v>0</v>
      </c>
      <c r="P16" s="10">
        <f t="shared" si="2"/>
        <v>0</v>
      </c>
      <c r="Q16" s="10">
        <f t="shared" si="2"/>
        <v>0.5</v>
      </c>
      <c r="R16" s="10">
        <f t="shared" si="3"/>
        <v>1</v>
      </c>
      <c r="S16" s="10">
        <f t="shared" si="4"/>
        <v>1.5</v>
      </c>
      <c r="T16" s="10" t="str">
        <f t="shared" si="5"/>
        <v>★½</v>
      </c>
    </row>
    <row r="17" spans="1:20" s="4" customFormat="1" ht="20" thickBot="1" x14ac:dyDescent="0.3">
      <c r="A17" s="4" t="s">
        <v>130</v>
      </c>
      <c r="B17" s="4" t="s">
        <v>29</v>
      </c>
      <c r="C17" s="4" t="s">
        <v>109</v>
      </c>
      <c r="D17" s="4" t="s">
        <v>58</v>
      </c>
      <c r="E17" s="4">
        <v>29</v>
      </c>
      <c r="F17" s="4">
        <v>2268</v>
      </c>
      <c r="G17" s="4">
        <v>392</v>
      </c>
      <c r="H17" s="5">
        <v>0.34899999999999998</v>
      </c>
      <c r="I17" s="4">
        <v>49</v>
      </c>
      <c r="J17" s="4">
        <v>4</v>
      </c>
      <c r="K17" s="4">
        <v>4</v>
      </c>
      <c r="L17" s="4">
        <v>1</v>
      </c>
      <c r="M17" s="6"/>
      <c r="N17" s="10">
        <f t="shared" si="0"/>
        <v>1</v>
      </c>
      <c r="O17" s="10">
        <f t="shared" si="1"/>
        <v>1</v>
      </c>
      <c r="P17" s="10">
        <f t="shared" si="2"/>
        <v>1</v>
      </c>
      <c r="Q17" s="10">
        <f t="shared" si="2"/>
        <v>1</v>
      </c>
      <c r="R17" s="10">
        <f t="shared" si="3"/>
        <v>0</v>
      </c>
      <c r="S17" s="10">
        <f t="shared" si="4"/>
        <v>4</v>
      </c>
      <c r="T17" s="10" t="str">
        <f t="shared" si="5"/>
        <v>★★★★</v>
      </c>
    </row>
    <row r="18" spans="1:20" s="4" customFormat="1" ht="20" thickBot="1" x14ac:dyDescent="0.3">
      <c r="A18" s="4" t="s">
        <v>131</v>
      </c>
      <c r="B18" s="4" t="s">
        <v>20</v>
      </c>
      <c r="C18" s="4" t="s">
        <v>109</v>
      </c>
      <c r="D18" s="4" t="s">
        <v>21</v>
      </c>
      <c r="E18" s="4">
        <v>31</v>
      </c>
      <c r="F18" s="4">
        <v>2070</v>
      </c>
      <c r="G18" s="4">
        <v>356</v>
      </c>
      <c r="H18" s="5">
        <v>0.29199999999999998</v>
      </c>
      <c r="I18" s="4">
        <v>62</v>
      </c>
      <c r="J18" s="4">
        <v>3</v>
      </c>
      <c r="K18" s="4">
        <v>3</v>
      </c>
      <c r="L18" s="4">
        <v>0</v>
      </c>
      <c r="M18" s="6"/>
      <c r="N18" s="10">
        <f t="shared" si="0"/>
        <v>1</v>
      </c>
      <c r="O18" s="10">
        <f t="shared" si="1"/>
        <v>0</v>
      </c>
      <c r="P18" s="10">
        <f t="shared" si="2"/>
        <v>1</v>
      </c>
      <c r="Q18" s="10">
        <f t="shared" si="2"/>
        <v>1</v>
      </c>
      <c r="R18" s="10">
        <f t="shared" si="3"/>
        <v>0</v>
      </c>
      <c r="S18" s="10">
        <f t="shared" si="4"/>
        <v>3</v>
      </c>
      <c r="T18" s="10" t="str">
        <f t="shared" si="5"/>
        <v>★★★</v>
      </c>
    </row>
    <row r="19" spans="1:20" s="4" customFormat="1" ht="20" thickBot="1" x14ac:dyDescent="0.3">
      <c r="A19" s="4" t="s">
        <v>132</v>
      </c>
      <c r="B19" s="4" t="s">
        <v>133</v>
      </c>
      <c r="C19" s="4" t="s">
        <v>109</v>
      </c>
      <c r="D19" s="4" t="s">
        <v>47</v>
      </c>
      <c r="E19" s="4">
        <v>27</v>
      </c>
      <c r="F19" s="4">
        <v>216</v>
      </c>
      <c r="G19" s="4">
        <v>21</v>
      </c>
      <c r="H19" s="5">
        <v>0.42899999999999999</v>
      </c>
      <c r="I19" s="4">
        <v>5</v>
      </c>
      <c r="J19" s="4">
        <v>0</v>
      </c>
      <c r="K19" s="4">
        <v>1</v>
      </c>
      <c r="L19" s="4">
        <v>0</v>
      </c>
      <c r="M19" s="6"/>
      <c r="N19" s="10">
        <f t="shared" si="0"/>
        <v>0</v>
      </c>
      <c r="O19" s="10">
        <f t="shared" si="1"/>
        <v>0</v>
      </c>
      <c r="P19" s="10">
        <f t="shared" si="2"/>
        <v>0</v>
      </c>
      <c r="Q19" s="10">
        <f t="shared" si="2"/>
        <v>0.5</v>
      </c>
      <c r="R19" s="10">
        <f t="shared" si="3"/>
        <v>1</v>
      </c>
      <c r="S19" s="10">
        <f t="shared" si="4"/>
        <v>1.5</v>
      </c>
      <c r="T19" s="10" t="str">
        <f t="shared" si="5"/>
        <v>★½</v>
      </c>
    </row>
    <row r="20" spans="1:20" s="4" customFormat="1" ht="20" thickBot="1" x14ac:dyDescent="0.3">
      <c r="A20" s="4" t="s">
        <v>134</v>
      </c>
      <c r="B20" s="4" t="s">
        <v>135</v>
      </c>
      <c r="C20" s="4" t="s">
        <v>116</v>
      </c>
      <c r="D20" s="4" t="s">
        <v>43</v>
      </c>
      <c r="E20" s="4">
        <v>23</v>
      </c>
      <c r="F20" s="4">
        <v>909</v>
      </c>
      <c r="G20" s="4">
        <v>204</v>
      </c>
      <c r="H20" s="5">
        <v>0.33300000000000002</v>
      </c>
      <c r="I20" s="4">
        <v>15</v>
      </c>
      <c r="J20" s="4">
        <v>1</v>
      </c>
      <c r="K20" s="4">
        <v>2</v>
      </c>
      <c r="L20" s="4">
        <v>1</v>
      </c>
      <c r="M20" s="6"/>
      <c r="N20" s="10">
        <f t="shared" si="0"/>
        <v>0</v>
      </c>
      <c r="O20" s="10">
        <f t="shared" si="1"/>
        <v>0.5</v>
      </c>
      <c r="P20" s="10">
        <f t="shared" si="2"/>
        <v>0</v>
      </c>
      <c r="Q20" s="10">
        <f t="shared" si="2"/>
        <v>0.5</v>
      </c>
      <c r="R20" s="10">
        <f t="shared" si="3"/>
        <v>0</v>
      </c>
      <c r="S20" s="10">
        <f t="shared" si="4"/>
        <v>1</v>
      </c>
      <c r="T20" s="10" t="str">
        <f t="shared" si="5"/>
        <v>★</v>
      </c>
    </row>
    <row r="21" spans="1:20" s="4" customFormat="1" ht="20" thickBot="1" x14ac:dyDescent="0.3">
      <c r="A21" s="4" t="s">
        <v>136</v>
      </c>
      <c r="B21" s="4" t="s">
        <v>29</v>
      </c>
      <c r="C21" s="4" t="s">
        <v>116</v>
      </c>
      <c r="D21" s="4" t="s">
        <v>21</v>
      </c>
      <c r="E21" s="4">
        <v>27</v>
      </c>
      <c r="F21" s="4">
        <v>180</v>
      </c>
      <c r="G21" s="4">
        <v>18</v>
      </c>
      <c r="H21" s="5">
        <v>0.16700000000000001</v>
      </c>
      <c r="I21" s="4">
        <v>1</v>
      </c>
      <c r="J21" s="4">
        <v>1</v>
      </c>
      <c r="K21" s="4">
        <v>0</v>
      </c>
      <c r="L21" s="4">
        <v>0</v>
      </c>
      <c r="M21" s="6"/>
      <c r="N21" s="10">
        <f t="shared" si="0"/>
        <v>0</v>
      </c>
      <c r="O21" s="10">
        <f t="shared" si="1"/>
        <v>0</v>
      </c>
      <c r="P21" s="10">
        <f t="shared" si="2"/>
        <v>0</v>
      </c>
      <c r="Q21" s="10">
        <f t="shared" si="2"/>
        <v>0.5</v>
      </c>
      <c r="R21" s="10">
        <f t="shared" si="3"/>
        <v>1</v>
      </c>
      <c r="S21" s="10">
        <f t="shared" si="4"/>
        <v>1.5</v>
      </c>
      <c r="T21" s="10" t="str">
        <f t="shared" si="5"/>
        <v>★½</v>
      </c>
    </row>
    <row r="22" spans="1:20" s="4" customFormat="1" ht="20" thickBot="1" x14ac:dyDescent="0.3">
      <c r="A22" s="4" t="s">
        <v>137</v>
      </c>
      <c r="B22" s="4" t="s">
        <v>29</v>
      </c>
      <c r="C22" s="4" t="s">
        <v>116</v>
      </c>
      <c r="D22" s="4" t="s">
        <v>58</v>
      </c>
      <c r="E22" s="4">
        <v>18</v>
      </c>
      <c r="F22" s="4">
        <v>144</v>
      </c>
      <c r="G22" s="4">
        <v>73</v>
      </c>
      <c r="H22" s="5">
        <v>0.13700000000000001</v>
      </c>
      <c r="I22" s="4">
        <v>2</v>
      </c>
      <c r="J22" s="4">
        <v>0</v>
      </c>
      <c r="K22" s="4">
        <v>0</v>
      </c>
      <c r="L22" s="4">
        <v>0</v>
      </c>
      <c r="M22" s="6"/>
      <c r="N22" s="10">
        <f t="shared" si="0"/>
        <v>0</v>
      </c>
      <c r="O22" s="10">
        <f t="shared" si="1"/>
        <v>0</v>
      </c>
      <c r="P22" s="10">
        <f t="shared" si="2"/>
        <v>0</v>
      </c>
      <c r="Q22" s="10">
        <f t="shared" si="2"/>
        <v>0.5</v>
      </c>
      <c r="R22" s="10">
        <f t="shared" si="3"/>
        <v>1</v>
      </c>
      <c r="S22" s="10">
        <f t="shared" si="4"/>
        <v>1.5</v>
      </c>
      <c r="T22" s="10" t="str">
        <f t="shared" si="5"/>
        <v>★½</v>
      </c>
    </row>
    <row r="23" spans="1:20" s="4" customFormat="1" ht="20" thickBot="1" x14ac:dyDescent="0.3">
      <c r="A23" s="4" t="s">
        <v>138</v>
      </c>
      <c r="B23" s="4" t="s">
        <v>67</v>
      </c>
      <c r="C23" s="4" t="s">
        <v>109</v>
      </c>
      <c r="D23" s="4" t="s">
        <v>43</v>
      </c>
      <c r="E23" s="4">
        <v>22</v>
      </c>
      <c r="F23" s="4">
        <v>837.00000000000011</v>
      </c>
      <c r="G23" s="4">
        <v>73</v>
      </c>
      <c r="H23" s="5">
        <v>0.39700000000000002</v>
      </c>
      <c r="I23" s="4">
        <v>10</v>
      </c>
      <c r="J23" s="4">
        <v>0</v>
      </c>
      <c r="K23" s="4">
        <v>3</v>
      </c>
      <c r="L23" s="4">
        <v>0</v>
      </c>
      <c r="M23" s="6"/>
      <c r="N23" s="10">
        <f t="shared" si="0"/>
        <v>0</v>
      </c>
      <c r="O23" s="10">
        <f t="shared" si="1"/>
        <v>0</v>
      </c>
      <c r="P23" s="10">
        <f t="shared" si="2"/>
        <v>0</v>
      </c>
      <c r="Q23" s="10">
        <f t="shared" si="2"/>
        <v>0.5</v>
      </c>
      <c r="R23" s="10">
        <f t="shared" si="3"/>
        <v>0</v>
      </c>
      <c r="S23" s="10">
        <f t="shared" si="4"/>
        <v>0.5</v>
      </c>
      <c r="T23" s="10" t="str">
        <f t="shared" si="5"/>
        <v>☆½</v>
      </c>
    </row>
    <row r="24" spans="1:20" s="4" customFormat="1" ht="20" thickBot="1" x14ac:dyDescent="0.3">
      <c r="A24" s="4" t="s">
        <v>139</v>
      </c>
      <c r="B24" s="4" t="s">
        <v>41</v>
      </c>
      <c r="C24" s="4" t="s">
        <v>109</v>
      </c>
      <c r="D24" s="4" t="s">
        <v>33</v>
      </c>
      <c r="E24" s="4">
        <v>25</v>
      </c>
      <c r="F24" s="4">
        <v>2628</v>
      </c>
      <c r="G24" s="4">
        <v>238</v>
      </c>
      <c r="H24" s="5">
        <v>0.31900000000000001</v>
      </c>
      <c r="I24" s="4">
        <v>64</v>
      </c>
      <c r="J24" s="4">
        <v>4</v>
      </c>
      <c r="K24" s="4">
        <v>10</v>
      </c>
      <c r="L24" s="4">
        <v>0</v>
      </c>
      <c r="M24" s="6"/>
      <c r="N24" s="10">
        <f t="shared" si="0"/>
        <v>1</v>
      </c>
      <c r="O24" s="10">
        <f t="shared" si="1"/>
        <v>1</v>
      </c>
      <c r="P24" s="10">
        <f t="shared" si="2"/>
        <v>1</v>
      </c>
      <c r="Q24" s="10">
        <f t="shared" si="2"/>
        <v>1</v>
      </c>
      <c r="R24" s="10">
        <f t="shared" si="3"/>
        <v>0</v>
      </c>
      <c r="S24" s="10">
        <f t="shared" si="4"/>
        <v>4</v>
      </c>
      <c r="T24" s="10" t="str">
        <f t="shared" si="5"/>
        <v>★★★★</v>
      </c>
    </row>
    <row r="25" spans="1:20" s="4" customFormat="1" ht="20" thickBot="1" x14ac:dyDescent="0.3">
      <c r="A25" s="4" t="s">
        <v>140</v>
      </c>
      <c r="B25" s="4" t="s">
        <v>60</v>
      </c>
      <c r="C25" s="4" t="s">
        <v>116</v>
      </c>
      <c r="D25" s="4" t="s">
        <v>27</v>
      </c>
      <c r="E25" s="4">
        <v>24</v>
      </c>
      <c r="F25" s="4">
        <v>486.00000000000006</v>
      </c>
      <c r="G25" s="4">
        <v>100</v>
      </c>
      <c r="H25" s="7">
        <v>0.26</v>
      </c>
      <c r="I25" s="4">
        <v>7</v>
      </c>
      <c r="J25" s="4">
        <v>1</v>
      </c>
      <c r="K25" s="4">
        <v>1</v>
      </c>
      <c r="L25" s="4">
        <v>0</v>
      </c>
      <c r="M25" s="6"/>
      <c r="N25" s="10">
        <f t="shared" si="0"/>
        <v>0</v>
      </c>
      <c r="O25" s="10">
        <f t="shared" si="1"/>
        <v>0</v>
      </c>
      <c r="P25" s="10">
        <f t="shared" si="2"/>
        <v>0</v>
      </c>
      <c r="Q25" s="10">
        <f t="shared" si="2"/>
        <v>0.5</v>
      </c>
      <c r="R25" s="10">
        <f t="shared" si="3"/>
        <v>1</v>
      </c>
      <c r="S25" s="10">
        <f t="shared" si="4"/>
        <v>1.5</v>
      </c>
      <c r="T25" s="10" t="str">
        <f t="shared" si="5"/>
        <v>★½</v>
      </c>
    </row>
    <row r="26" spans="1:20" s="4" customFormat="1" ht="20" thickBot="1" x14ac:dyDescent="0.3">
      <c r="A26" s="4" t="s">
        <v>140</v>
      </c>
      <c r="B26" s="4" t="s">
        <v>60</v>
      </c>
      <c r="C26" s="4" t="s">
        <v>116</v>
      </c>
      <c r="D26" s="4" t="s">
        <v>47</v>
      </c>
      <c r="E26" s="4">
        <v>24</v>
      </c>
      <c r="F26" s="4">
        <v>72</v>
      </c>
      <c r="G26" s="4">
        <v>16</v>
      </c>
      <c r="H26" s="5">
        <v>0.375</v>
      </c>
      <c r="I26" s="4">
        <v>2</v>
      </c>
      <c r="J26" s="4">
        <v>1</v>
      </c>
      <c r="K26" s="4">
        <v>0</v>
      </c>
      <c r="L26" s="4">
        <v>0</v>
      </c>
      <c r="M26" s="6"/>
      <c r="N26" s="10">
        <f t="shared" si="0"/>
        <v>0</v>
      </c>
      <c r="O26" s="10">
        <f t="shared" si="1"/>
        <v>0</v>
      </c>
      <c r="P26" s="10">
        <f t="shared" si="2"/>
        <v>0</v>
      </c>
      <c r="Q26" s="10">
        <f t="shared" si="2"/>
        <v>0.5</v>
      </c>
      <c r="R26" s="10">
        <f t="shared" si="3"/>
        <v>1</v>
      </c>
      <c r="S26" s="10">
        <f t="shared" si="4"/>
        <v>1.5</v>
      </c>
      <c r="T26" s="10" t="str">
        <f t="shared" si="5"/>
        <v>★½</v>
      </c>
    </row>
    <row r="27" spans="1:20" s="4" customFormat="1" ht="20" thickBot="1" x14ac:dyDescent="0.3">
      <c r="A27" s="4" t="s">
        <v>141</v>
      </c>
      <c r="B27" s="4" t="s">
        <v>142</v>
      </c>
      <c r="C27" s="4" t="s">
        <v>116</v>
      </c>
      <c r="D27" s="4" t="s">
        <v>65</v>
      </c>
      <c r="E27" s="4">
        <v>24</v>
      </c>
      <c r="F27" s="4">
        <v>1359</v>
      </c>
      <c r="G27" s="4">
        <v>327</v>
      </c>
      <c r="H27" s="5">
        <v>0.24199999999999999</v>
      </c>
      <c r="I27" s="4">
        <v>32</v>
      </c>
      <c r="J27" s="4">
        <v>4</v>
      </c>
      <c r="K27" s="4">
        <v>5</v>
      </c>
      <c r="L27" s="4">
        <v>0</v>
      </c>
      <c r="M27" s="6"/>
      <c r="N27" s="10">
        <f t="shared" si="0"/>
        <v>0</v>
      </c>
      <c r="O27" s="10">
        <f t="shared" si="1"/>
        <v>0</v>
      </c>
      <c r="P27" s="10">
        <f t="shared" si="2"/>
        <v>1</v>
      </c>
      <c r="Q27" s="10">
        <f t="shared" si="2"/>
        <v>1</v>
      </c>
      <c r="R27" s="10">
        <f t="shared" si="3"/>
        <v>0</v>
      </c>
      <c r="S27" s="10">
        <f t="shared" si="4"/>
        <v>2</v>
      </c>
      <c r="T27" s="10" t="str">
        <f t="shared" si="5"/>
        <v>★★</v>
      </c>
    </row>
    <row r="28" spans="1:20" s="4" customFormat="1" ht="20" thickBot="1" x14ac:dyDescent="0.3">
      <c r="A28" s="4" t="s">
        <v>143</v>
      </c>
      <c r="B28" s="4" t="s">
        <v>144</v>
      </c>
      <c r="C28" s="4" t="s">
        <v>116</v>
      </c>
      <c r="D28" s="4" t="s">
        <v>53</v>
      </c>
      <c r="E28" s="4">
        <v>30</v>
      </c>
      <c r="F28" s="4">
        <v>1098</v>
      </c>
      <c r="G28" s="4">
        <v>170</v>
      </c>
      <c r="H28" s="5">
        <v>0.25900000000000001</v>
      </c>
      <c r="I28" s="4">
        <v>18</v>
      </c>
      <c r="J28" s="4">
        <v>1</v>
      </c>
      <c r="K28" s="4">
        <v>2</v>
      </c>
      <c r="L28" s="4">
        <v>0</v>
      </c>
      <c r="M28" s="6"/>
      <c r="N28" s="10">
        <f t="shared" si="0"/>
        <v>0</v>
      </c>
      <c r="O28" s="10">
        <f t="shared" si="1"/>
        <v>0</v>
      </c>
      <c r="P28" s="10">
        <f t="shared" si="2"/>
        <v>0</v>
      </c>
      <c r="Q28" s="10">
        <f t="shared" si="2"/>
        <v>0.5</v>
      </c>
      <c r="R28" s="10">
        <f t="shared" si="3"/>
        <v>1</v>
      </c>
      <c r="S28" s="10">
        <f t="shared" si="4"/>
        <v>1.5</v>
      </c>
      <c r="T28" s="10" t="str">
        <f t="shared" si="5"/>
        <v>★½</v>
      </c>
    </row>
    <row r="29" spans="1:20" s="4" customFormat="1" ht="20" thickBot="1" x14ac:dyDescent="0.3">
      <c r="A29" s="4" t="s">
        <v>145</v>
      </c>
      <c r="B29" s="4" t="s">
        <v>29</v>
      </c>
      <c r="C29" s="4" t="s">
        <v>109</v>
      </c>
      <c r="D29" s="4" t="s">
        <v>87</v>
      </c>
      <c r="E29" s="4">
        <v>31</v>
      </c>
      <c r="F29" s="4">
        <v>333</v>
      </c>
      <c r="G29" s="4">
        <v>75</v>
      </c>
      <c r="H29" s="5">
        <v>0.33300000000000002</v>
      </c>
      <c r="I29" s="4">
        <v>11</v>
      </c>
      <c r="J29" s="4">
        <v>0</v>
      </c>
      <c r="K29" s="4">
        <v>1</v>
      </c>
      <c r="L29" s="4">
        <v>0</v>
      </c>
      <c r="M29" s="6"/>
      <c r="N29" s="10">
        <f t="shared" si="0"/>
        <v>0</v>
      </c>
      <c r="O29" s="10">
        <f t="shared" si="1"/>
        <v>0</v>
      </c>
      <c r="P29" s="10">
        <f t="shared" si="2"/>
        <v>0</v>
      </c>
      <c r="Q29" s="10">
        <f t="shared" si="2"/>
        <v>0.5</v>
      </c>
      <c r="R29" s="10">
        <f t="shared" si="3"/>
        <v>1</v>
      </c>
      <c r="S29" s="10">
        <f t="shared" si="4"/>
        <v>1.5</v>
      </c>
      <c r="T29" s="10" t="str">
        <f t="shared" si="5"/>
        <v>★½</v>
      </c>
    </row>
    <row r="30" spans="1:20" s="4" customFormat="1" ht="20" thickBot="1" x14ac:dyDescent="0.3">
      <c r="A30" s="4" t="s">
        <v>146</v>
      </c>
      <c r="B30" s="4" t="s">
        <v>67</v>
      </c>
      <c r="C30" s="4" t="s">
        <v>116</v>
      </c>
      <c r="D30" s="4" t="s">
        <v>43</v>
      </c>
      <c r="E30" s="4">
        <v>20</v>
      </c>
      <c r="F30" s="4">
        <v>45</v>
      </c>
      <c r="G30" s="4">
        <v>19</v>
      </c>
      <c r="H30" s="5">
        <v>0.42099999999999999</v>
      </c>
      <c r="I30" s="4">
        <v>1</v>
      </c>
      <c r="J30" s="4">
        <v>0</v>
      </c>
      <c r="K30" s="4">
        <v>0</v>
      </c>
      <c r="L30" s="4">
        <v>0</v>
      </c>
      <c r="M30" s="6"/>
      <c r="N30" s="10">
        <f t="shared" si="0"/>
        <v>0</v>
      </c>
      <c r="O30" s="10">
        <f t="shared" si="1"/>
        <v>0</v>
      </c>
      <c r="P30" s="10">
        <f t="shared" si="2"/>
        <v>0</v>
      </c>
      <c r="Q30" s="10">
        <f t="shared" si="2"/>
        <v>0.5</v>
      </c>
      <c r="R30" s="10">
        <f t="shared" si="3"/>
        <v>1</v>
      </c>
      <c r="S30" s="10">
        <f t="shared" si="4"/>
        <v>1.5</v>
      </c>
      <c r="T30" s="10" t="str">
        <f t="shared" si="5"/>
        <v>★½</v>
      </c>
    </row>
    <row r="31" spans="1:20" s="4" customFormat="1" ht="20" thickBot="1" x14ac:dyDescent="0.3">
      <c r="A31" s="4" t="s">
        <v>147</v>
      </c>
      <c r="B31" s="4" t="s">
        <v>148</v>
      </c>
      <c r="C31" s="4" t="s">
        <v>116</v>
      </c>
      <c r="D31" s="4" t="s">
        <v>85</v>
      </c>
      <c r="E31" s="4">
        <v>24</v>
      </c>
      <c r="F31" s="4">
        <v>2115</v>
      </c>
      <c r="G31" s="4">
        <v>415</v>
      </c>
      <c r="H31" s="5">
        <v>0.35899999999999999</v>
      </c>
      <c r="I31" s="4">
        <v>43</v>
      </c>
      <c r="J31" s="4">
        <v>3</v>
      </c>
      <c r="K31" s="4">
        <v>10</v>
      </c>
      <c r="L31" s="4">
        <v>0</v>
      </c>
      <c r="M31" s="6"/>
      <c r="N31" s="10">
        <f t="shared" si="0"/>
        <v>1</v>
      </c>
      <c r="O31" s="10">
        <f t="shared" si="1"/>
        <v>1</v>
      </c>
      <c r="P31" s="10">
        <f t="shared" si="2"/>
        <v>1</v>
      </c>
      <c r="Q31" s="10">
        <f t="shared" si="2"/>
        <v>1</v>
      </c>
      <c r="R31" s="10">
        <f t="shared" si="3"/>
        <v>0</v>
      </c>
      <c r="S31" s="10">
        <f t="shared" si="4"/>
        <v>4</v>
      </c>
      <c r="T31" s="10" t="str">
        <f t="shared" si="5"/>
        <v>★★★★</v>
      </c>
    </row>
    <row r="32" spans="1:20" s="4" customFormat="1" ht="20" thickBot="1" x14ac:dyDescent="0.3">
      <c r="A32" s="4" t="s">
        <v>149</v>
      </c>
      <c r="B32" s="4" t="s">
        <v>133</v>
      </c>
      <c r="C32" s="4" t="s">
        <v>109</v>
      </c>
      <c r="D32" s="4" t="s">
        <v>81</v>
      </c>
      <c r="E32" s="4">
        <v>30</v>
      </c>
      <c r="F32" s="4">
        <v>900</v>
      </c>
      <c r="G32" s="4">
        <v>110</v>
      </c>
      <c r="H32" s="5">
        <v>0.39100000000000001</v>
      </c>
      <c r="I32" s="4">
        <v>21</v>
      </c>
      <c r="J32" s="4">
        <v>0</v>
      </c>
      <c r="K32" s="4">
        <v>1</v>
      </c>
      <c r="L32" s="4">
        <v>0</v>
      </c>
      <c r="M32" s="6"/>
      <c r="N32" s="10">
        <f t="shared" si="0"/>
        <v>0</v>
      </c>
      <c r="O32" s="10">
        <f t="shared" si="1"/>
        <v>0</v>
      </c>
      <c r="P32" s="10">
        <f t="shared" si="2"/>
        <v>0</v>
      </c>
      <c r="Q32" s="10">
        <f t="shared" si="2"/>
        <v>0.5</v>
      </c>
      <c r="R32" s="10">
        <f t="shared" si="3"/>
        <v>1</v>
      </c>
      <c r="S32" s="10">
        <f t="shared" si="4"/>
        <v>1.5</v>
      </c>
      <c r="T32" s="10" t="str">
        <f t="shared" si="5"/>
        <v>★½</v>
      </c>
    </row>
    <row r="33" spans="1:20" s="4" customFormat="1" ht="20" thickBot="1" x14ac:dyDescent="0.3">
      <c r="A33" s="4" t="s">
        <v>150</v>
      </c>
      <c r="B33" s="4" t="s">
        <v>29</v>
      </c>
      <c r="C33" s="4" t="s">
        <v>109</v>
      </c>
      <c r="D33" s="4" t="s">
        <v>27</v>
      </c>
      <c r="E33" s="4">
        <v>19</v>
      </c>
      <c r="F33" s="4">
        <v>387</v>
      </c>
      <c r="G33" s="4">
        <v>41</v>
      </c>
      <c r="H33" s="7">
        <v>0.39</v>
      </c>
      <c r="I33" s="4">
        <v>7</v>
      </c>
      <c r="J33" s="4">
        <v>1</v>
      </c>
      <c r="K33" s="4">
        <v>0</v>
      </c>
      <c r="L33" s="4">
        <v>1</v>
      </c>
      <c r="M33" s="6"/>
      <c r="N33" s="10">
        <f t="shared" si="0"/>
        <v>0</v>
      </c>
      <c r="O33" s="10">
        <f t="shared" si="1"/>
        <v>0</v>
      </c>
      <c r="P33" s="10">
        <f t="shared" si="2"/>
        <v>0</v>
      </c>
      <c r="Q33" s="10">
        <f t="shared" si="2"/>
        <v>0.5</v>
      </c>
      <c r="R33" s="10">
        <f t="shared" si="3"/>
        <v>0</v>
      </c>
      <c r="S33" s="10">
        <f t="shared" si="4"/>
        <v>0.5</v>
      </c>
      <c r="T33" s="10" t="str">
        <f t="shared" si="5"/>
        <v>☆½</v>
      </c>
    </row>
    <row r="34" spans="1:20" s="4" customFormat="1" ht="20" thickBot="1" x14ac:dyDescent="0.3">
      <c r="A34" s="4" t="s">
        <v>151</v>
      </c>
      <c r="B34" s="4" t="s">
        <v>29</v>
      </c>
      <c r="C34" s="4" t="s">
        <v>116</v>
      </c>
      <c r="D34" s="4" t="s">
        <v>53</v>
      </c>
      <c r="E34" s="4">
        <v>25</v>
      </c>
      <c r="F34" s="4">
        <v>2951.9999999999995</v>
      </c>
      <c r="G34" s="4">
        <v>540</v>
      </c>
      <c r="H34" s="5">
        <v>0.311</v>
      </c>
      <c r="I34" s="4">
        <v>51</v>
      </c>
      <c r="J34" s="4">
        <v>5</v>
      </c>
      <c r="K34" s="4">
        <v>10</v>
      </c>
      <c r="L34" s="4">
        <v>0</v>
      </c>
      <c r="M34" s="6"/>
      <c r="N34" s="10">
        <f t="shared" si="0"/>
        <v>1</v>
      </c>
      <c r="O34" s="10">
        <f t="shared" si="1"/>
        <v>0</v>
      </c>
      <c r="P34" s="10">
        <f t="shared" si="2"/>
        <v>1</v>
      </c>
      <c r="Q34" s="10">
        <f t="shared" si="2"/>
        <v>1</v>
      </c>
      <c r="R34" s="10">
        <f t="shared" si="3"/>
        <v>0</v>
      </c>
      <c r="S34" s="10">
        <f t="shared" si="4"/>
        <v>3</v>
      </c>
      <c r="T34" s="10" t="str">
        <f t="shared" si="5"/>
        <v>★★★</v>
      </c>
    </row>
    <row r="35" spans="1:20" s="4" customFormat="1" ht="20" thickBot="1" x14ac:dyDescent="0.3">
      <c r="A35" s="4" t="s">
        <v>152</v>
      </c>
      <c r="B35" s="4" t="s">
        <v>29</v>
      </c>
      <c r="C35" s="4" t="s">
        <v>116</v>
      </c>
      <c r="D35" s="4" t="s">
        <v>87</v>
      </c>
      <c r="E35" s="4">
        <v>20</v>
      </c>
      <c r="F35" s="4">
        <v>27</v>
      </c>
      <c r="G35" s="4">
        <v>5</v>
      </c>
      <c r="H35" s="7">
        <v>0</v>
      </c>
      <c r="I35" s="4">
        <v>1</v>
      </c>
      <c r="J35" s="4">
        <v>0</v>
      </c>
      <c r="K35" s="4">
        <v>0</v>
      </c>
      <c r="L35" s="4">
        <v>0</v>
      </c>
      <c r="M35" s="6"/>
      <c r="N35" s="10">
        <f t="shared" si="0"/>
        <v>0</v>
      </c>
      <c r="O35" s="10">
        <f t="shared" si="1"/>
        <v>0</v>
      </c>
      <c r="P35" s="10">
        <f t="shared" si="2"/>
        <v>0</v>
      </c>
      <c r="Q35" s="10">
        <f t="shared" si="2"/>
        <v>0.5</v>
      </c>
      <c r="R35" s="10">
        <f t="shared" si="3"/>
        <v>1</v>
      </c>
      <c r="S35" s="10">
        <f t="shared" si="4"/>
        <v>1.5</v>
      </c>
      <c r="T35" s="10" t="str">
        <f t="shared" si="5"/>
        <v>★½</v>
      </c>
    </row>
    <row r="36" spans="1:20" s="4" customFormat="1" ht="20" thickBot="1" x14ac:dyDescent="0.3">
      <c r="A36" s="4" t="s">
        <v>153</v>
      </c>
      <c r="B36" s="4" t="s">
        <v>29</v>
      </c>
      <c r="C36" s="4" t="s">
        <v>109</v>
      </c>
      <c r="D36" s="4" t="s">
        <v>85</v>
      </c>
      <c r="E36" s="4">
        <v>29</v>
      </c>
      <c r="F36" s="4">
        <v>1026</v>
      </c>
      <c r="G36" s="4">
        <v>141</v>
      </c>
      <c r="H36" s="5">
        <v>0.32600000000000001</v>
      </c>
      <c r="I36" s="4">
        <v>29</v>
      </c>
      <c r="J36" s="4">
        <v>1</v>
      </c>
      <c r="K36" s="4">
        <v>4</v>
      </c>
      <c r="L36" s="4">
        <v>0</v>
      </c>
      <c r="M36" s="6"/>
      <c r="N36" s="10">
        <f t="shared" si="0"/>
        <v>0</v>
      </c>
      <c r="O36" s="10">
        <f t="shared" si="1"/>
        <v>0</v>
      </c>
      <c r="P36" s="10">
        <f t="shared" si="2"/>
        <v>1</v>
      </c>
      <c r="Q36" s="10">
        <f t="shared" si="2"/>
        <v>0.5</v>
      </c>
      <c r="R36" s="10">
        <f t="shared" si="3"/>
        <v>0</v>
      </c>
      <c r="S36" s="10">
        <f t="shared" si="4"/>
        <v>1.5</v>
      </c>
      <c r="T36" s="10" t="str">
        <f t="shared" si="5"/>
        <v>★½</v>
      </c>
    </row>
    <row r="37" spans="1:20" s="4" customFormat="1" ht="20" thickBot="1" x14ac:dyDescent="0.3">
      <c r="A37" s="4" t="s">
        <v>153</v>
      </c>
      <c r="B37" s="4" t="s">
        <v>29</v>
      </c>
      <c r="C37" s="4" t="s">
        <v>109</v>
      </c>
      <c r="D37" s="4" t="s">
        <v>35</v>
      </c>
      <c r="E37" s="4">
        <v>29</v>
      </c>
      <c r="F37" s="4">
        <v>1440</v>
      </c>
      <c r="G37" s="4">
        <v>144</v>
      </c>
      <c r="H37" s="5">
        <v>0.38900000000000001</v>
      </c>
      <c r="I37" s="4">
        <v>33</v>
      </c>
      <c r="J37" s="4">
        <v>1</v>
      </c>
      <c r="K37" s="4">
        <v>4</v>
      </c>
      <c r="L37" s="4">
        <v>0</v>
      </c>
      <c r="M37" s="6"/>
      <c r="N37" s="10">
        <f t="shared" si="0"/>
        <v>0.5</v>
      </c>
      <c r="O37" s="10">
        <f t="shared" si="1"/>
        <v>0</v>
      </c>
      <c r="P37" s="10">
        <f t="shared" si="2"/>
        <v>1</v>
      </c>
      <c r="Q37" s="10">
        <f t="shared" si="2"/>
        <v>0.5</v>
      </c>
      <c r="R37" s="10">
        <f t="shared" si="3"/>
        <v>0</v>
      </c>
      <c r="S37" s="10">
        <f t="shared" si="4"/>
        <v>2</v>
      </c>
      <c r="T37" s="10" t="str">
        <f t="shared" si="5"/>
        <v>★★</v>
      </c>
    </row>
    <row r="38" spans="1:20" s="4" customFormat="1" ht="20" thickBot="1" x14ac:dyDescent="0.3">
      <c r="A38" s="4" t="s">
        <v>154</v>
      </c>
      <c r="B38" s="4" t="s">
        <v>29</v>
      </c>
      <c r="C38" s="4" t="s">
        <v>109</v>
      </c>
      <c r="D38" s="4" t="s">
        <v>50</v>
      </c>
      <c r="E38" s="4">
        <v>27</v>
      </c>
      <c r="F38" s="4">
        <v>1026</v>
      </c>
      <c r="G38" s="4">
        <v>139</v>
      </c>
      <c r="H38" s="5">
        <v>0.245</v>
      </c>
      <c r="I38" s="4">
        <v>31</v>
      </c>
      <c r="J38" s="4">
        <v>0</v>
      </c>
      <c r="K38" s="4">
        <v>3</v>
      </c>
      <c r="L38" s="4">
        <v>0</v>
      </c>
      <c r="M38" s="6"/>
      <c r="N38" s="10">
        <f t="shared" si="0"/>
        <v>0</v>
      </c>
      <c r="O38" s="10">
        <f t="shared" si="1"/>
        <v>0</v>
      </c>
      <c r="P38" s="10">
        <f t="shared" si="2"/>
        <v>1</v>
      </c>
      <c r="Q38" s="10">
        <f t="shared" si="2"/>
        <v>0.5</v>
      </c>
      <c r="R38" s="10">
        <f t="shared" si="3"/>
        <v>0</v>
      </c>
      <c r="S38" s="10">
        <f t="shared" si="4"/>
        <v>1.5</v>
      </c>
      <c r="T38" s="10" t="str">
        <f t="shared" si="5"/>
        <v>★½</v>
      </c>
    </row>
    <row r="39" spans="1:20" s="4" customFormat="1" ht="20" thickBot="1" x14ac:dyDescent="0.3">
      <c r="A39" s="4" t="s">
        <v>155</v>
      </c>
      <c r="B39" s="4" t="s">
        <v>156</v>
      </c>
      <c r="C39" s="4" t="s">
        <v>116</v>
      </c>
      <c r="D39" s="4" t="s">
        <v>85</v>
      </c>
      <c r="E39" s="4">
        <v>19</v>
      </c>
      <c r="F39" s="4">
        <v>657</v>
      </c>
      <c r="G39" s="4">
        <v>141</v>
      </c>
      <c r="H39" s="5">
        <v>0.312</v>
      </c>
      <c r="I39" s="4">
        <v>13</v>
      </c>
      <c r="J39" s="4">
        <v>2</v>
      </c>
      <c r="K39" s="4">
        <v>2</v>
      </c>
      <c r="L39" s="4">
        <v>0</v>
      </c>
      <c r="M39" s="6"/>
      <c r="N39" s="10">
        <f t="shared" si="0"/>
        <v>0</v>
      </c>
      <c r="O39" s="10">
        <f t="shared" si="1"/>
        <v>0</v>
      </c>
      <c r="P39" s="10">
        <f t="shared" si="2"/>
        <v>0</v>
      </c>
      <c r="Q39" s="10">
        <f t="shared" si="2"/>
        <v>0.5</v>
      </c>
      <c r="R39" s="10">
        <f t="shared" si="3"/>
        <v>1</v>
      </c>
      <c r="S39" s="10">
        <f t="shared" si="4"/>
        <v>1.5</v>
      </c>
      <c r="T39" s="10" t="str">
        <f t="shared" si="5"/>
        <v>★½</v>
      </c>
    </row>
    <row r="40" spans="1:20" s="4" customFormat="1" ht="20" thickBot="1" x14ac:dyDescent="0.3">
      <c r="A40" s="4" t="s">
        <v>157</v>
      </c>
      <c r="B40" s="4" t="s">
        <v>52</v>
      </c>
      <c r="C40" s="4" t="s">
        <v>116</v>
      </c>
      <c r="D40" s="4" t="s">
        <v>81</v>
      </c>
      <c r="E40" s="4">
        <v>18</v>
      </c>
      <c r="F40" s="4">
        <v>9</v>
      </c>
      <c r="G40" s="4">
        <v>1</v>
      </c>
      <c r="H40" s="7">
        <v>1</v>
      </c>
      <c r="I40" s="4">
        <v>0</v>
      </c>
      <c r="J40" s="4">
        <v>0</v>
      </c>
      <c r="K40" s="4">
        <v>0</v>
      </c>
      <c r="L40" s="4">
        <v>0</v>
      </c>
      <c r="M40" s="6"/>
      <c r="N40" s="10">
        <f t="shared" si="0"/>
        <v>0</v>
      </c>
      <c r="O40" s="10">
        <f t="shared" si="1"/>
        <v>0</v>
      </c>
      <c r="P40" s="10">
        <f t="shared" si="2"/>
        <v>0</v>
      </c>
      <c r="Q40" s="10">
        <f t="shared" si="2"/>
        <v>0.5</v>
      </c>
      <c r="R40" s="10">
        <f t="shared" si="3"/>
        <v>1</v>
      </c>
      <c r="S40" s="10">
        <f t="shared" si="4"/>
        <v>1.5</v>
      </c>
      <c r="T40" s="10" t="str">
        <f t="shared" si="5"/>
        <v>★½</v>
      </c>
    </row>
    <row r="41" spans="1:20" s="4" customFormat="1" ht="20" thickBot="1" x14ac:dyDescent="0.3">
      <c r="A41" s="4" t="s">
        <v>158</v>
      </c>
      <c r="B41" s="4" t="s">
        <v>83</v>
      </c>
      <c r="C41" s="4" t="s">
        <v>109</v>
      </c>
      <c r="D41" s="4" t="s">
        <v>39</v>
      </c>
      <c r="E41" s="4">
        <v>27</v>
      </c>
      <c r="F41" s="4">
        <v>3231</v>
      </c>
      <c r="G41" s="4">
        <v>347</v>
      </c>
      <c r="H41" s="5">
        <v>0.34300000000000003</v>
      </c>
      <c r="I41" s="4">
        <v>45</v>
      </c>
      <c r="J41" s="4">
        <v>8</v>
      </c>
      <c r="K41" s="4">
        <v>7</v>
      </c>
      <c r="L41" s="4">
        <v>0</v>
      </c>
      <c r="M41" s="6"/>
      <c r="N41" s="10">
        <f t="shared" si="0"/>
        <v>1</v>
      </c>
      <c r="O41" s="10">
        <f t="shared" si="1"/>
        <v>1</v>
      </c>
      <c r="P41" s="10">
        <f t="shared" si="2"/>
        <v>1</v>
      </c>
      <c r="Q41" s="10">
        <f t="shared" si="2"/>
        <v>1</v>
      </c>
      <c r="R41" s="10">
        <f t="shared" si="3"/>
        <v>0</v>
      </c>
      <c r="S41" s="10">
        <f t="shared" si="4"/>
        <v>4</v>
      </c>
      <c r="T41" s="10" t="str">
        <f t="shared" si="5"/>
        <v>★★★★</v>
      </c>
    </row>
    <row r="42" spans="1:20" s="4" customFormat="1" ht="20" thickBot="1" x14ac:dyDescent="0.3">
      <c r="A42" s="4" t="s">
        <v>159</v>
      </c>
      <c r="B42" s="4" t="s">
        <v>20</v>
      </c>
      <c r="C42" s="4" t="s">
        <v>109</v>
      </c>
      <c r="D42" s="4" t="s">
        <v>43</v>
      </c>
      <c r="E42" s="4">
        <v>24</v>
      </c>
      <c r="F42" s="4">
        <v>2079</v>
      </c>
      <c r="G42" s="4">
        <v>460</v>
      </c>
      <c r="H42" s="5">
        <v>0.246</v>
      </c>
      <c r="I42" s="4">
        <v>40</v>
      </c>
      <c r="J42" s="4">
        <v>5</v>
      </c>
      <c r="K42" s="4">
        <v>8</v>
      </c>
      <c r="L42" s="4">
        <v>1</v>
      </c>
      <c r="M42" s="6"/>
      <c r="N42" s="10">
        <f t="shared" si="0"/>
        <v>1</v>
      </c>
      <c r="O42" s="10">
        <f t="shared" si="1"/>
        <v>0</v>
      </c>
      <c r="P42" s="10">
        <f t="shared" si="2"/>
        <v>1</v>
      </c>
      <c r="Q42" s="10">
        <f t="shared" si="2"/>
        <v>1</v>
      </c>
      <c r="R42" s="10">
        <f t="shared" si="3"/>
        <v>0</v>
      </c>
      <c r="S42" s="10">
        <f t="shared" si="4"/>
        <v>3</v>
      </c>
      <c r="T42" s="10" t="str">
        <f t="shared" si="5"/>
        <v>★★★</v>
      </c>
    </row>
    <row r="43" spans="1:20" s="4" customFormat="1" ht="20" thickBot="1" x14ac:dyDescent="0.3">
      <c r="A43" s="4" t="s">
        <v>160</v>
      </c>
      <c r="B43" s="4" t="s">
        <v>41</v>
      </c>
      <c r="C43" s="4" t="s">
        <v>109</v>
      </c>
      <c r="D43" s="4" t="s">
        <v>69</v>
      </c>
      <c r="E43" s="4">
        <v>23</v>
      </c>
      <c r="F43" s="4">
        <v>3375</v>
      </c>
      <c r="G43" s="4">
        <v>511</v>
      </c>
      <c r="H43" s="5">
        <v>0.27800000000000002</v>
      </c>
      <c r="I43" s="4">
        <v>91</v>
      </c>
      <c r="J43" s="4">
        <v>7</v>
      </c>
      <c r="K43" s="4">
        <v>8</v>
      </c>
      <c r="L43" s="4">
        <v>0</v>
      </c>
      <c r="M43" s="6"/>
      <c r="N43" s="10">
        <f t="shared" si="0"/>
        <v>1</v>
      </c>
      <c r="O43" s="10">
        <f t="shared" si="1"/>
        <v>0</v>
      </c>
      <c r="P43" s="10">
        <f t="shared" si="2"/>
        <v>1</v>
      </c>
      <c r="Q43" s="10">
        <f t="shared" si="2"/>
        <v>1</v>
      </c>
      <c r="R43" s="10">
        <f t="shared" si="3"/>
        <v>0</v>
      </c>
      <c r="S43" s="10">
        <f t="shared" si="4"/>
        <v>3</v>
      </c>
      <c r="T43" s="10" t="str">
        <f t="shared" si="5"/>
        <v>★★★</v>
      </c>
    </row>
    <row r="44" spans="1:20" s="4" customFormat="1" ht="20" thickBot="1" x14ac:dyDescent="0.3">
      <c r="A44" s="4" t="s">
        <v>161</v>
      </c>
      <c r="B44" s="4" t="s">
        <v>162</v>
      </c>
      <c r="C44" s="4" t="s">
        <v>109</v>
      </c>
      <c r="D44" s="4" t="s">
        <v>87</v>
      </c>
      <c r="E44" s="4">
        <v>25</v>
      </c>
      <c r="F44" s="4">
        <v>2124</v>
      </c>
      <c r="G44" s="4">
        <v>349</v>
      </c>
      <c r="H44" s="5">
        <v>0.309</v>
      </c>
      <c r="I44" s="4">
        <v>53</v>
      </c>
      <c r="J44" s="4">
        <v>1</v>
      </c>
      <c r="K44" s="4">
        <v>1</v>
      </c>
      <c r="L44" s="4">
        <v>0</v>
      </c>
      <c r="M44" s="6"/>
      <c r="N44" s="10">
        <f t="shared" si="0"/>
        <v>1</v>
      </c>
      <c r="O44" s="10">
        <f t="shared" si="1"/>
        <v>0</v>
      </c>
      <c r="P44" s="10">
        <f t="shared" si="2"/>
        <v>1</v>
      </c>
      <c r="Q44" s="10">
        <f t="shared" si="2"/>
        <v>0.5</v>
      </c>
      <c r="R44" s="10">
        <f t="shared" si="3"/>
        <v>1</v>
      </c>
      <c r="S44" s="10">
        <f t="shared" si="4"/>
        <v>3.5</v>
      </c>
      <c r="T44" s="10" t="str">
        <f t="shared" si="5"/>
        <v>★★★½</v>
      </c>
    </row>
    <row r="45" spans="1:20" s="4" customFormat="1" ht="20" thickBot="1" x14ac:dyDescent="0.3">
      <c r="A45" s="4" t="s">
        <v>163</v>
      </c>
      <c r="B45" s="4" t="s">
        <v>20</v>
      </c>
      <c r="C45" s="4" t="s">
        <v>109</v>
      </c>
      <c r="D45" s="4" t="s">
        <v>81</v>
      </c>
      <c r="E45" s="4">
        <v>27</v>
      </c>
      <c r="F45" s="4">
        <v>1026</v>
      </c>
      <c r="G45" s="4">
        <v>175</v>
      </c>
      <c r="H45" s="5">
        <v>0.33100000000000002</v>
      </c>
      <c r="I45" s="4">
        <v>19</v>
      </c>
      <c r="J45" s="4">
        <v>2</v>
      </c>
      <c r="K45" s="4">
        <v>1</v>
      </c>
      <c r="L45" s="4">
        <v>0</v>
      </c>
      <c r="M45" s="6"/>
      <c r="N45" s="10">
        <f t="shared" si="0"/>
        <v>0</v>
      </c>
      <c r="O45" s="10">
        <f t="shared" si="1"/>
        <v>0.5</v>
      </c>
      <c r="P45" s="10">
        <f t="shared" si="2"/>
        <v>0</v>
      </c>
      <c r="Q45" s="10">
        <f t="shared" si="2"/>
        <v>0.5</v>
      </c>
      <c r="R45" s="10">
        <f t="shared" si="3"/>
        <v>1</v>
      </c>
      <c r="S45" s="10">
        <f t="shared" si="4"/>
        <v>2</v>
      </c>
      <c r="T45" s="10" t="str">
        <f t="shared" si="5"/>
        <v>★★</v>
      </c>
    </row>
    <row r="46" spans="1:20" s="4" customFormat="1" ht="20" thickBot="1" x14ac:dyDescent="0.3">
      <c r="A46" s="4" t="s">
        <v>164</v>
      </c>
      <c r="B46" s="4" t="s">
        <v>165</v>
      </c>
      <c r="C46" s="4" t="s">
        <v>109</v>
      </c>
      <c r="D46" s="4" t="s">
        <v>24</v>
      </c>
      <c r="E46" s="4">
        <v>32</v>
      </c>
      <c r="F46" s="4">
        <v>2394</v>
      </c>
      <c r="G46" s="4">
        <v>165</v>
      </c>
      <c r="H46" s="5">
        <v>0.309</v>
      </c>
      <c r="I46" s="4">
        <v>55</v>
      </c>
      <c r="J46" s="4">
        <v>1</v>
      </c>
      <c r="K46" s="4">
        <v>3</v>
      </c>
      <c r="L46" s="4">
        <v>0</v>
      </c>
      <c r="M46" s="6"/>
      <c r="N46" s="10">
        <f t="shared" si="0"/>
        <v>1</v>
      </c>
      <c r="O46" s="10">
        <f t="shared" si="1"/>
        <v>0</v>
      </c>
      <c r="P46" s="10">
        <f t="shared" si="2"/>
        <v>1</v>
      </c>
      <c r="Q46" s="10">
        <f t="shared" si="2"/>
        <v>0.5</v>
      </c>
      <c r="R46" s="10">
        <f t="shared" si="3"/>
        <v>0</v>
      </c>
      <c r="S46" s="10">
        <f t="shared" si="4"/>
        <v>2.5</v>
      </c>
      <c r="T46" s="10" t="str">
        <f t="shared" si="5"/>
        <v>★★½</v>
      </c>
    </row>
    <row r="47" spans="1:20" s="4" customFormat="1" ht="20" thickBot="1" x14ac:dyDescent="0.3">
      <c r="A47" s="4" t="s">
        <v>166</v>
      </c>
      <c r="B47" s="4" t="s">
        <v>29</v>
      </c>
      <c r="C47" s="4" t="s">
        <v>109</v>
      </c>
      <c r="D47" s="4" t="s">
        <v>21</v>
      </c>
      <c r="E47" s="4">
        <v>22</v>
      </c>
      <c r="F47" s="4">
        <v>1449.0000000000002</v>
      </c>
      <c r="G47" s="4">
        <v>165</v>
      </c>
      <c r="H47" s="5">
        <v>0.36399999999999999</v>
      </c>
      <c r="I47" s="4">
        <v>20</v>
      </c>
      <c r="J47" s="4">
        <v>4</v>
      </c>
      <c r="K47" s="4">
        <v>2</v>
      </c>
      <c r="L47" s="4">
        <v>0</v>
      </c>
      <c r="M47" s="6"/>
      <c r="N47" s="10">
        <f t="shared" si="0"/>
        <v>1</v>
      </c>
      <c r="O47" s="10">
        <f t="shared" si="1"/>
        <v>0</v>
      </c>
      <c r="P47" s="10">
        <f t="shared" si="2"/>
        <v>0</v>
      </c>
      <c r="Q47" s="10">
        <f t="shared" si="2"/>
        <v>1</v>
      </c>
      <c r="R47" s="10">
        <f t="shared" si="3"/>
        <v>1</v>
      </c>
      <c r="S47" s="10">
        <f t="shared" si="4"/>
        <v>3</v>
      </c>
      <c r="T47" s="10" t="str">
        <f t="shared" si="5"/>
        <v>★★★</v>
      </c>
    </row>
    <row r="48" spans="1:20" s="4" customFormat="1" ht="20" thickBot="1" x14ac:dyDescent="0.3">
      <c r="A48" s="4" t="s">
        <v>167</v>
      </c>
      <c r="B48" s="4" t="s">
        <v>29</v>
      </c>
      <c r="C48" s="4" t="s">
        <v>109</v>
      </c>
      <c r="D48" s="4" t="s">
        <v>69</v>
      </c>
      <c r="E48" s="4">
        <v>26</v>
      </c>
      <c r="F48" s="4">
        <v>827.99999999999989</v>
      </c>
      <c r="G48" s="4">
        <v>94</v>
      </c>
      <c r="H48" s="7">
        <v>0.33</v>
      </c>
      <c r="I48" s="4">
        <v>21</v>
      </c>
      <c r="J48" s="4">
        <v>1</v>
      </c>
      <c r="K48" s="4">
        <v>1</v>
      </c>
      <c r="L48" s="4">
        <v>0</v>
      </c>
      <c r="M48" s="6"/>
      <c r="N48" s="10">
        <f t="shared" si="0"/>
        <v>0</v>
      </c>
      <c r="O48" s="10">
        <f t="shared" si="1"/>
        <v>0</v>
      </c>
      <c r="P48" s="10">
        <f t="shared" si="2"/>
        <v>0</v>
      </c>
      <c r="Q48" s="10">
        <f t="shared" si="2"/>
        <v>0.5</v>
      </c>
      <c r="R48" s="10">
        <f t="shared" si="3"/>
        <v>1</v>
      </c>
      <c r="S48" s="10">
        <f t="shared" si="4"/>
        <v>1.5</v>
      </c>
      <c r="T48" s="10" t="str">
        <f t="shared" si="5"/>
        <v>★½</v>
      </c>
    </row>
    <row r="49" spans="1:20" s="4" customFormat="1" ht="20" thickBot="1" x14ac:dyDescent="0.3">
      <c r="A49" s="4" t="s">
        <v>167</v>
      </c>
      <c r="B49" s="4" t="s">
        <v>29</v>
      </c>
      <c r="C49" s="4" t="s">
        <v>109</v>
      </c>
      <c r="D49" s="4" t="s">
        <v>63</v>
      </c>
      <c r="E49" s="4">
        <v>26</v>
      </c>
      <c r="F49" s="4">
        <v>171</v>
      </c>
      <c r="G49" s="4">
        <v>24</v>
      </c>
      <c r="H49" s="5">
        <v>0.20799999999999999</v>
      </c>
      <c r="I49" s="4">
        <v>11</v>
      </c>
      <c r="J49" s="4">
        <v>0</v>
      </c>
      <c r="K49" s="4">
        <v>0</v>
      </c>
      <c r="L49" s="4">
        <v>0</v>
      </c>
      <c r="M49" s="6"/>
      <c r="N49" s="10">
        <f t="shared" si="0"/>
        <v>0</v>
      </c>
      <c r="O49" s="10">
        <f t="shared" si="1"/>
        <v>0</v>
      </c>
      <c r="P49" s="10">
        <f t="shared" si="2"/>
        <v>0</v>
      </c>
      <c r="Q49" s="10">
        <f t="shared" si="2"/>
        <v>0.5</v>
      </c>
      <c r="R49" s="10">
        <f t="shared" si="3"/>
        <v>1</v>
      </c>
      <c r="S49" s="10">
        <f t="shared" si="4"/>
        <v>1.5</v>
      </c>
      <c r="T49" s="10" t="str">
        <f t="shared" si="5"/>
        <v>★½</v>
      </c>
    </row>
    <row r="50" spans="1:20" s="4" customFormat="1" ht="20" thickBot="1" x14ac:dyDescent="0.3">
      <c r="A50" s="4" t="s">
        <v>168</v>
      </c>
      <c r="B50" s="4" t="s">
        <v>29</v>
      </c>
      <c r="C50" s="4" t="s">
        <v>116</v>
      </c>
      <c r="D50" s="4" t="s">
        <v>18</v>
      </c>
      <c r="E50" s="4">
        <v>19</v>
      </c>
      <c r="F50" s="4">
        <v>0</v>
      </c>
      <c r="G50" s="4">
        <v>0</v>
      </c>
      <c r="H50" s="11" t="s">
        <v>129</v>
      </c>
      <c r="I50" s="4">
        <v>0</v>
      </c>
      <c r="J50" s="4">
        <v>0</v>
      </c>
      <c r="K50" s="4">
        <v>0</v>
      </c>
      <c r="L50" s="4">
        <v>0</v>
      </c>
      <c r="M50" s="6"/>
      <c r="N50" s="10">
        <f t="shared" si="0"/>
        <v>0</v>
      </c>
      <c r="O50" s="10">
        <f t="shared" si="1"/>
        <v>0</v>
      </c>
      <c r="P50" s="10">
        <f t="shared" si="2"/>
        <v>0</v>
      </c>
      <c r="Q50" s="10">
        <f t="shared" si="2"/>
        <v>0.5</v>
      </c>
      <c r="R50" s="10">
        <f t="shared" si="3"/>
        <v>1</v>
      </c>
      <c r="S50" s="10">
        <f t="shared" si="4"/>
        <v>1.5</v>
      </c>
      <c r="T50" s="10" t="str">
        <f t="shared" si="5"/>
        <v>★½</v>
      </c>
    </row>
    <row r="51" spans="1:20" s="4" customFormat="1" ht="20" thickBot="1" x14ac:dyDescent="0.3">
      <c r="A51" s="4" t="s">
        <v>169</v>
      </c>
      <c r="B51" s="4" t="s">
        <v>29</v>
      </c>
      <c r="C51" s="4" t="s">
        <v>109</v>
      </c>
      <c r="D51" s="4" t="s">
        <v>21</v>
      </c>
      <c r="E51" s="4">
        <v>24</v>
      </c>
      <c r="F51" s="4">
        <v>540</v>
      </c>
      <c r="G51" s="4">
        <v>92</v>
      </c>
      <c r="H51" s="5">
        <v>0.33700000000000002</v>
      </c>
      <c r="I51" s="4">
        <v>10</v>
      </c>
      <c r="J51" s="4">
        <v>4</v>
      </c>
      <c r="K51" s="4">
        <v>0</v>
      </c>
      <c r="L51" s="4">
        <v>0</v>
      </c>
      <c r="M51" s="6"/>
      <c r="N51" s="10">
        <f t="shared" si="0"/>
        <v>0</v>
      </c>
      <c r="O51" s="10">
        <f t="shared" si="1"/>
        <v>0</v>
      </c>
      <c r="P51" s="10">
        <f t="shared" si="2"/>
        <v>0</v>
      </c>
      <c r="Q51" s="10">
        <f t="shared" si="2"/>
        <v>1</v>
      </c>
      <c r="R51" s="10">
        <f t="shared" si="3"/>
        <v>1</v>
      </c>
      <c r="S51" s="10">
        <f t="shared" si="4"/>
        <v>2</v>
      </c>
      <c r="T51" s="10" t="str">
        <f t="shared" si="5"/>
        <v>★★</v>
      </c>
    </row>
    <row r="52" spans="1:20" s="4" customFormat="1" ht="20" thickBot="1" x14ac:dyDescent="0.3">
      <c r="A52" s="4" t="s">
        <v>170</v>
      </c>
      <c r="B52" s="4" t="s">
        <v>83</v>
      </c>
      <c r="C52" s="4" t="s">
        <v>171</v>
      </c>
      <c r="D52" s="4" t="s">
        <v>81</v>
      </c>
      <c r="E52" s="4">
        <v>21</v>
      </c>
      <c r="F52" s="4">
        <v>206.99999999999997</v>
      </c>
      <c r="G52" s="4">
        <v>58</v>
      </c>
      <c r="H52" s="5">
        <v>0.24099999999999999</v>
      </c>
      <c r="I52" s="4">
        <v>3</v>
      </c>
      <c r="J52" s="4">
        <v>3</v>
      </c>
      <c r="K52" s="4">
        <v>0</v>
      </c>
      <c r="L52" s="4">
        <v>0</v>
      </c>
      <c r="M52" s="6"/>
      <c r="N52" s="10">
        <f t="shared" si="0"/>
        <v>0</v>
      </c>
      <c r="O52" s="10">
        <f t="shared" si="1"/>
        <v>0</v>
      </c>
      <c r="P52" s="10">
        <f t="shared" si="2"/>
        <v>0</v>
      </c>
      <c r="Q52" s="10">
        <f t="shared" si="2"/>
        <v>1</v>
      </c>
      <c r="R52" s="10">
        <f t="shared" si="3"/>
        <v>1</v>
      </c>
      <c r="S52" s="10">
        <f t="shared" si="4"/>
        <v>2</v>
      </c>
      <c r="T52" s="10" t="str">
        <f t="shared" si="5"/>
        <v>★★</v>
      </c>
    </row>
    <row r="53" spans="1:20" s="4" customFormat="1" ht="20" thickBot="1" x14ac:dyDescent="0.3">
      <c r="A53" s="4" t="s">
        <v>172</v>
      </c>
      <c r="B53" s="4" t="s">
        <v>29</v>
      </c>
      <c r="C53" s="4" t="s">
        <v>171</v>
      </c>
      <c r="D53" s="4" t="s">
        <v>87</v>
      </c>
      <c r="E53" s="4">
        <v>23</v>
      </c>
      <c r="F53" s="4">
        <v>288</v>
      </c>
      <c r="G53" s="4">
        <v>42</v>
      </c>
      <c r="H53" s="5">
        <v>0.14299999999999999</v>
      </c>
      <c r="I53" s="4">
        <v>5</v>
      </c>
      <c r="J53" s="4">
        <v>0</v>
      </c>
      <c r="K53" s="4">
        <v>1</v>
      </c>
      <c r="L53" s="4">
        <v>0</v>
      </c>
      <c r="M53" s="6"/>
      <c r="N53" s="10">
        <f t="shared" si="0"/>
        <v>0</v>
      </c>
      <c r="O53" s="10">
        <f t="shared" si="1"/>
        <v>0</v>
      </c>
      <c r="P53" s="10">
        <f t="shared" si="2"/>
        <v>0</v>
      </c>
      <c r="Q53" s="10">
        <f t="shared" si="2"/>
        <v>0.5</v>
      </c>
      <c r="R53" s="10">
        <f t="shared" si="3"/>
        <v>1</v>
      </c>
      <c r="S53" s="10">
        <f t="shared" si="4"/>
        <v>1.5</v>
      </c>
      <c r="T53" s="10" t="str">
        <f t="shared" si="5"/>
        <v>★½</v>
      </c>
    </row>
    <row r="54" spans="1:20" s="4" customFormat="1" ht="20" thickBot="1" x14ac:dyDescent="0.3">
      <c r="A54" s="4" t="s">
        <v>173</v>
      </c>
      <c r="B54" s="4" t="s">
        <v>67</v>
      </c>
      <c r="C54" s="4" t="s">
        <v>109</v>
      </c>
      <c r="D54" s="4" t="s">
        <v>21</v>
      </c>
      <c r="E54" s="4">
        <v>25</v>
      </c>
      <c r="F54" s="4">
        <v>1494.0000000000002</v>
      </c>
      <c r="G54" s="4">
        <v>148</v>
      </c>
      <c r="H54" s="5">
        <v>0.34499999999999997</v>
      </c>
      <c r="I54" s="4">
        <v>30</v>
      </c>
      <c r="J54" s="4">
        <v>0</v>
      </c>
      <c r="K54" s="4">
        <v>2</v>
      </c>
      <c r="L54" s="4">
        <v>0</v>
      </c>
      <c r="M54" s="6"/>
      <c r="N54" s="10">
        <f t="shared" si="0"/>
        <v>1</v>
      </c>
      <c r="O54" s="10">
        <f t="shared" si="1"/>
        <v>0</v>
      </c>
      <c r="P54" s="10">
        <f t="shared" si="2"/>
        <v>1</v>
      </c>
      <c r="Q54" s="10">
        <f t="shared" si="2"/>
        <v>0.5</v>
      </c>
      <c r="R54" s="10">
        <f t="shared" si="3"/>
        <v>1</v>
      </c>
      <c r="S54" s="10">
        <f t="shared" si="4"/>
        <v>3.5</v>
      </c>
      <c r="T54" s="10" t="str">
        <f t="shared" si="5"/>
        <v>★★★½</v>
      </c>
    </row>
    <row r="55" spans="1:20" s="4" customFormat="1" ht="20" thickBot="1" x14ac:dyDescent="0.3">
      <c r="A55" s="4" t="s">
        <v>174</v>
      </c>
      <c r="B55" s="4" t="s">
        <v>55</v>
      </c>
      <c r="C55" s="4" t="s">
        <v>109</v>
      </c>
      <c r="D55" s="4" t="s">
        <v>35</v>
      </c>
      <c r="E55" s="4">
        <v>31</v>
      </c>
      <c r="F55" s="4">
        <v>1017.0000000000001</v>
      </c>
      <c r="G55" s="4">
        <v>76</v>
      </c>
      <c r="H55" s="5">
        <v>0.35499999999999998</v>
      </c>
      <c r="I55" s="4">
        <v>14</v>
      </c>
      <c r="J55" s="4">
        <v>1</v>
      </c>
      <c r="K55" s="4">
        <v>2</v>
      </c>
      <c r="L55" s="4">
        <v>1</v>
      </c>
      <c r="M55" s="6"/>
      <c r="N55" s="10">
        <f t="shared" si="0"/>
        <v>0</v>
      </c>
      <c r="O55" s="10">
        <f t="shared" si="1"/>
        <v>0</v>
      </c>
      <c r="P55" s="10">
        <f t="shared" si="2"/>
        <v>0</v>
      </c>
      <c r="Q55" s="10">
        <f t="shared" si="2"/>
        <v>0.5</v>
      </c>
      <c r="R55" s="10">
        <f t="shared" si="3"/>
        <v>0</v>
      </c>
      <c r="S55" s="10">
        <f t="shared" si="4"/>
        <v>0.5</v>
      </c>
      <c r="T55" s="10" t="str">
        <f t="shared" si="5"/>
        <v>☆½</v>
      </c>
    </row>
    <row r="56" spans="1:20" s="4" customFormat="1" ht="20" thickBot="1" x14ac:dyDescent="0.3">
      <c r="A56" s="4" t="s">
        <v>175</v>
      </c>
      <c r="B56" s="4" t="s">
        <v>29</v>
      </c>
      <c r="C56" s="4" t="s">
        <v>116</v>
      </c>
      <c r="D56" s="4" t="s">
        <v>24</v>
      </c>
      <c r="E56" s="4">
        <v>31</v>
      </c>
      <c r="F56" s="4">
        <v>1620</v>
      </c>
      <c r="G56" s="4">
        <v>372</v>
      </c>
      <c r="H56" s="5">
        <v>0.28499999999999998</v>
      </c>
      <c r="I56" s="4">
        <v>28</v>
      </c>
      <c r="J56" s="4">
        <v>2</v>
      </c>
      <c r="K56" s="4">
        <v>2</v>
      </c>
      <c r="L56" s="4">
        <v>0</v>
      </c>
      <c r="M56" s="6"/>
      <c r="N56" s="10">
        <f t="shared" si="0"/>
        <v>1</v>
      </c>
      <c r="O56" s="10">
        <f t="shared" si="1"/>
        <v>0</v>
      </c>
      <c r="P56" s="10">
        <f t="shared" si="2"/>
        <v>0.5</v>
      </c>
      <c r="Q56" s="10">
        <f t="shared" si="2"/>
        <v>0.5</v>
      </c>
      <c r="R56" s="10">
        <f t="shared" si="3"/>
        <v>1</v>
      </c>
      <c r="S56" s="10">
        <f t="shared" si="4"/>
        <v>3</v>
      </c>
      <c r="T56" s="10" t="str">
        <f t="shared" si="5"/>
        <v>★★★</v>
      </c>
    </row>
    <row r="57" spans="1:20" s="4" customFormat="1" ht="20" thickBot="1" x14ac:dyDescent="0.3">
      <c r="A57" s="4" t="s">
        <v>176</v>
      </c>
      <c r="B57" s="4" t="s">
        <v>29</v>
      </c>
      <c r="C57" s="4" t="s">
        <v>109</v>
      </c>
      <c r="D57" s="4" t="s">
        <v>30</v>
      </c>
      <c r="E57" s="4">
        <v>30</v>
      </c>
      <c r="F57" s="4">
        <v>1350</v>
      </c>
      <c r="G57" s="4">
        <v>128</v>
      </c>
      <c r="H57" s="5">
        <v>0.33600000000000002</v>
      </c>
      <c r="I57" s="4">
        <v>10</v>
      </c>
      <c r="J57" s="4">
        <v>1</v>
      </c>
      <c r="K57" s="4">
        <v>1</v>
      </c>
      <c r="L57" s="4">
        <v>0</v>
      </c>
      <c r="M57" s="6"/>
      <c r="N57" s="10">
        <f t="shared" si="0"/>
        <v>0</v>
      </c>
      <c r="O57" s="10">
        <f t="shared" si="1"/>
        <v>0</v>
      </c>
      <c r="P57" s="10">
        <f t="shared" si="2"/>
        <v>0</v>
      </c>
      <c r="Q57" s="10">
        <f t="shared" si="2"/>
        <v>0.5</v>
      </c>
      <c r="R57" s="10">
        <f t="shared" si="3"/>
        <v>1</v>
      </c>
      <c r="S57" s="10">
        <f t="shared" si="4"/>
        <v>1.5</v>
      </c>
      <c r="T57" s="10" t="str">
        <f t="shared" si="5"/>
        <v>★½</v>
      </c>
    </row>
    <row r="58" spans="1:20" s="4" customFormat="1" ht="20" thickBot="1" x14ac:dyDescent="0.3">
      <c r="A58" s="4" t="s">
        <v>177</v>
      </c>
      <c r="B58" s="4" t="s">
        <v>29</v>
      </c>
      <c r="C58" s="4" t="s">
        <v>109</v>
      </c>
      <c r="D58" s="4" t="s">
        <v>81</v>
      </c>
      <c r="E58" s="4">
        <v>28</v>
      </c>
      <c r="F58" s="4">
        <v>3356.9999999999995</v>
      </c>
      <c r="G58" s="4">
        <v>197</v>
      </c>
      <c r="H58" s="5">
        <v>0.34499999999999997</v>
      </c>
      <c r="I58" s="4">
        <v>64</v>
      </c>
      <c r="J58" s="4">
        <v>4</v>
      </c>
      <c r="K58" s="4">
        <v>4</v>
      </c>
      <c r="L58" s="4">
        <v>0</v>
      </c>
      <c r="M58" s="6"/>
      <c r="N58" s="10">
        <f t="shared" si="0"/>
        <v>1</v>
      </c>
      <c r="O58" s="10">
        <f t="shared" si="1"/>
        <v>0.5</v>
      </c>
      <c r="P58" s="10">
        <f t="shared" si="2"/>
        <v>1</v>
      </c>
      <c r="Q58" s="10">
        <f t="shared" si="2"/>
        <v>1</v>
      </c>
      <c r="R58" s="10">
        <f t="shared" si="3"/>
        <v>0</v>
      </c>
      <c r="S58" s="10">
        <f t="shared" si="4"/>
        <v>3.5</v>
      </c>
      <c r="T58" s="10" t="str">
        <f t="shared" si="5"/>
        <v>★★★½</v>
      </c>
    </row>
    <row r="59" spans="1:20" s="4" customFormat="1" ht="20" thickBot="1" x14ac:dyDescent="0.3">
      <c r="A59" s="4" t="s">
        <v>178</v>
      </c>
      <c r="B59" s="4" t="s">
        <v>55</v>
      </c>
      <c r="C59" s="4" t="s">
        <v>109</v>
      </c>
      <c r="D59" s="4" t="s">
        <v>27</v>
      </c>
      <c r="E59" s="4">
        <v>32</v>
      </c>
      <c r="F59" s="4">
        <v>2655</v>
      </c>
      <c r="G59" s="4">
        <v>336</v>
      </c>
      <c r="H59" s="5">
        <v>0.36899999999999999</v>
      </c>
      <c r="I59" s="4">
        <v>59</v>
      </c>
      <c r="J59" s="4">
        <v>1</v>
      </c>
      <c r="K59" s="4">
        <v>4</v>
      </c>
      <c r="L59" s="4">
        <v>0</v>
      </c>
      <c r="M59" s="6"/>
      <c r="N59" s="10">
        <f t="shared" si="0"/>
        <v>1</v>
      </c>
      <c r="O59" s="10">
        <f t="shared" si="1"/>
        <v>1</v>
      </c>
      <c r="P59" s="10">
        <f t="shared" si="2"/>
        <v>1</v>
      </c>
      <c r="Q59" s="10">
        <f t="shared" si="2"/>
        <v>0.5</v>
      </c>
      <c r="R59" s="10">
        <f t="shared" si="3"/>
        <v>0</v>
      </c>
      <c r="S59" s="10">
        <f t="shared" si="4"/>
        <v>3.5</v>
      </c>
      <c r="T59" s="10" t="str">
        <f t="shared" si="5"/>
        <v>★★★½</v>
      </c>
    </row>
    <row r="60" spans="1:20" s="4" customFormat="1" ht="20" thickBot="1" x14ac:dyDescent="0.3">
      <c r="A60" s="4" t="s">
        <v>179</v>
      </c>
      <c r="B60" s="4" t="s">
        <v>55</v>
      </c>
      <c r="C60" s="4" t="s">
        <v>109</v>
      </c>
      <c r="D60" s="4" t="s">
        <v>53</v>
      </c>
      <c r="E60" s="4">
        <v>20</v>
      </c>
      <c r="F60" s="4">
        <v>1674.0000000000002</v>
      </c>
      <c r="G60" s="4">
        <v>161</v>
      </c>
      <c r="H60" s="5">
        <v>0.33500000000000002</v>
      </c>
      <c r="I60" s="4">
        <v>48</v>
      </c>
      <c r="J60" s="4">
        <v>2</v>
      </c>
      <c r="K60" s="4">
        <v>2</v>
      </c>
      <c r="L60" s="4">
        <v>1</v>
      </c>
      <c r="M60" s="6"/>
      <c r="N60" s="10">
        <f t="shared" si="0"/>
        <v>1</v>
      </c>
      <c r="O60" s="10">
        <f t="shared" si="1"/>
        <v>0</v>
      </c>
      <c r="P60" s="10">
        <f t="shared" si="2"/>
        <v>1</v>
      </c>
      <c r="Q60" s="10">
        <f t="shared" si="2"/>
        <v>0.5</v>
      </c>
      <c r="R60" s="10">
        <f t="shared" si="3"/>
        <v>0</v>
      </c>
      <c r="S60" s="10">
        <f t="shared" si="4"/>
        <v>2.5</v>
      </c>
      <c r="T60" s="10" t="str">
        <f t="shared" si="5"/>
        <v>★★½</v>
      </c>
    </row>
    <row r="61" spans="1:20" s="4" customFormat="1" ht="20" thickBot="1" x14ac:dyDescent="0.3">
      <c r="A61" s="4" t="s">
        <v>180</v>
      </c>
      <c r="B61" s="4" t="s">
        <v>127</v>
      </c>
      <c r="C61" s="4" t="s">
        <v>109</v>
      </c>
      <c r="D61" s="4" t="s">
        <v>58</v>
      </c>
      <c r="E61" s="4">
        <v>29</v>
      </c>
      <c r="F61" s="4">
        <v>1818</v>
      </c>
      <c r="G61" s="4">
        <v>201</v>
      </c>
      <c r="H61" s="5">
        <v>0.36799999999999999</v>
      </c>
      <c r="I61" s="4">
        <v>32</v>
      </c>
      <c r="J61" s="4">
        <v>1</v>
      </c>
      <c r="K61" s="4">
        <v>5</v>
      </c>
      <c r="L61" s="4">
        <v>0</v>
      </c>
      <c r="M61" s="6"/>
      <c r="N61" s="10">
        <f t="shared" si="0"/>
        <v>1</v>
      </c>
      <c r="O61" s="10">
        <f t="shared" si="1"/>
        <v>0.5</v>
      </c>
      <c r="P61" s="10">
        <f t="shared" si="2"/>
        <v>1</v>
      </c>
      <c r="Q61" s="10">
        <f t="shared" si="2"/>
        <v>0.5</v>
      </c>
      <c r="R61" s="10">
        <f t="shared" si="3"/>
        <v>0</v>
      </c>
      <c r="S61" s="10">
        <f t="shared" si="4"/>
        <v>3</v>
      </c>
      <c r="T61" s="10" t="str">
        <f t="shared" si="5"/>
        <v>★★★</v>
      </c>
    </row>
    <row r="62" spans="1:20" s="4" customFormat="1" ht="20" thickBot="1" x14ac:dyDescent="0.3">
      <c r="A62" s="4" t="s">
        <v>181</v>
      </c>
      <c r="B62" s="4" t="s">
        <v>29</v>
      </c>
      <c r="C62" s="4" t="s">
        <v>116</v>
      </c>
      <c r="D62" s="4" t="s">
        <v>53</v>
      </c>
      <c r="E62" s="4">
        <v>32</v>
      </c>
      <c r="F62" s="4">
        <v>1674.0000000000002</v>
      </c>
      <c r="G62" s="4">
        <v>343</v>
      </c>
      <c r="H62" s="5">
        <v>0.27400000000000002</v>
      </c>
      <c r="I62" s="4">
        <v>26</v>
      </c>
      <c r="J62" s="4">
        <v>1</v>
      </c>
      <c r="K62" s="4">
        <v>4</v>
      </c>
      <c r="L62" s="4">
        <v>0</v>
      </c>
      <c r="M62" s="6"/>
      <c r="N62" s="10">
        <f t="shared" si="0"/>
        <v>1</v>
      </c>
      <c r="O62" s="10">
        <f t="shared" si="1"/>
        <v>0</v>
      </c>
      <c r="P62" s="10">
        <f t="shared" si="2"/>
        <v>0</v>
      </c>
      <c r="Q62" s="10">
        <f t="shared" si="2"/>
        <v>0.5</v>
      </c>
      <c r="R62" s="10">
        <f t="shared" si="3"/>
        <v>0</v>
      </c>
      <c r="S62" s="10">
        <f t="shared" si="4"/>
        <v>1.5</v>
      </c>
      <c r="T62" s="10" t="str">
        <f t="shared" si="5"/>
        <v>★½</v>
      </c>
    </row>
    <row r="63" spans="1:20" s="4" customFormat="1" ht="20" thickBot="1" x14ac:dyDescent="0.3">
      <c r="A63" s="4" t="s">
        <v>182</v>
      </c>
      <c r="B63" s="4" t="s">
        <v>183</v>
      </c>
      <c r="C63" s="4" t="s">
        <v>116</v>
      </c>
      <c r="D63" s="4" t="s">
        <v>58</v>
      </c>
      <c r="E63" s="4">
        <v>27</v>
      </c>
      <c r="F63" s="4">
        <v>18</v>
      </c>
      <c r="G63" s="4">
        <v>9</v>
      </c>
      <c r="H63" s="5">
        <v>0.222</v>
      </c>
      <c r="I63" s="4">
        <v>0</v>
      </c>
      <c r="J63" s="4">
        <v>0</v>
      </c>
      <c r="K63" s="4">
        <v>0</v>
      </c>
      <c r="L63" s="4">
        <v>0</v>
      </c>
      <c r="M63" s="6"/>
      <c r="N63" s="10">
        <f t="shared" si="0"/>
        <v>0</v>
      </c>
      <c r="O63" s="10">
        <f t="shared" si="1"/>
        <v>0</v>
      </c>
      <c r="P63" s="10">
        <f t="shared" si="2"/>
        <v>0</v>
      </c>
      <c r="Q63" s="10">
        <f t="shared" si="2"/>
        <v>0.5</v>
      </c>
      <c r="R63" s="10">
        <f t="shared" si="3"/>
        <v>1</v>
      </c>
      <c r="S63" s="10">
        <f t="shared" si="4"/>
        <v>1.5</v>
      </c>
      <c r="T63" s="10" t="str">
        <f t="shared" si="5"/>
        <v>★½</v>
      </c>
    </row>
    <row r="64" spans="1:20" s="4" customFormat="1" ht="20" thickBot="1" x14ac:dyDescent="0.3">
      <c r="A64" s="4" t="s">
        <v>184</v>
      </c>
      <c r="B64" s="4" t="s">
        <v>185</v>
      </c>
      <c r="C64" s="4" t="s">
        <v>109</v>
      </c>
      <c r="D64" s="4" t="s">
        <v>18</v>
      </c>
      <c r="E64" s="4">
        <v>28</v>
      </c>
      <c r="F64" s="4">
        <v>2205</v>
      </c>
      <c r="G64" s="4">
        <v>301</v>
      </c>
      <c r="H64" s="5">
        <v>0.26200000000000001</v>
      </c>
      <c r="I64" s="4">
        <v>50</v>
      </c>
      <c r="J64" s="4">
        <v>4</v>
      </c>
      <c r="K64" s="4">
        <v>5</v>
      </c>
      <c r="L64" s="4">
        <v>1</v>
      </c>
      <c r="M64" s="6"/>
      <c r="N64" s="10">
        <f t="shared" si="0"/>
        <v>1</v>
      </c>
      <c r="O64" s="10">
        <f t="shared" si="1"/>
        <v>0</v>
      </c>
      <c r="P64" s="10">
        <f t="shared" si="2"/>
        <v>1</v>
      </c>
      <c r="Q64" s="10">
        <f t="shared" si="2"/>
        <v>1</v>
      </c>
      <c r="R64" s="10">
        <f t="shared" si="3"/>
        <v>0</v>
      </c>
      <c r="S64" s="10">
        <f t="shared" si="4"/>
        <v>3</v>
      </c>
      <c r="T64" s="10" t="str">
        <f t="shared" si="5"/>
        <v>★★★</v>
      </c>
    </row>
    <row r="65" spans="1:20" s="4" customFormat="1" ht="20" thickBot="1" x14ac:dyDescent="0.3">
      <c r="A65" s="4" t="s">
        <v>186</v>
      </c>
      <c r="B65" s="4" t="s">
        <v>29</v>
      </c>
      <c r="C65" s="4" t="s">
        <v>109</v>
      </c>
      <c r="D65" s="4" t="s">
        <v>18</v>
      </c>
      <c r="E65" s="4">
        <v>31</v>
      </c>
      <c r="F65" s="4">
        <v>2727</v>
      </c>
      <c r="G65" s="4">
        <v>213</v>
      </c>
      <c r="H65" s="5">
        <v>0.315</v>
      </c>
      <c r="I65" s="4">
        <v>48</v>
      </c>
      <c r="J65" s="4">
        <v>5</v>
      </c>
      <c r="K65" s="4">
        <v>3</v>
      </c>
      <c r="L65" s="4">
        <v>0</v>
      </c>
      <c r="M65" s="6"/>
      <c r="N65" s="10">
        <f t="shared" si="0"/>
        <v>1</v>
      </c>
      <c r="O65" s="10">
        <f t="shared" si="1"/>
        <v>0.5</v>
      </c>
      <c r="P65" s="10">
        <f t="shared" si="2"/>
        <v>1</v>
      </c>
      <c r="Q65" s="10">
        <f t="shared" si="2"/>
        <v>1</v>
      </c>
      <c r="R65" s="10">
        <f t="shared" si="3"/>
        <v>0</v>
      </c>
      <c r="S65" s="10">
        <f t="shared" si="4"/>
        <v>3.5</v>
      </c>
      <c r="T65" s="10" t="str">
        <f t="shared" si="5"/>
        <v>★★★½</v>
      </c>
    </row>
    <row r="66" spans="1:20" s="4" customFormat="1" ht="20" thickBot="1" x14ac:dyDescent="0.3">
      <c r="A66" s="4" t="s">
        <v>187</v>
      </c>
      <c r="B66" s="4" t="s">
        <v>29</v>
      </c>
      <c r="C66" s="4" t="s">
        <v>109</v>
      </c>
      <c r="D66" s="4" t="s">
        <v>58</v>
      </c>
      <c r="E66" s="4">
        <v>18</v>
      </c>
      <c r="F66" s="4">
        <v>144</v>
      </c>
      <c r="G66" s="4">
        <v>29</v>
      </c>
      <c r="H66" s="5">
        <v>0.17199999999999999</v>
      </c>
      <c r="I66" s="4">
        <v>2</v>
      </c>
      <c r="J66" s="4">
        <v>0</v>
      </c>
      <c r="K66" s="4">
        <v>1</v>
      </c>
      <c r="L66" s="4">
        <v>0</v>
      </c>
      <c r="M66" s="6"/>
      <c r="N66" s="10">
        <f t="shared" si="0"/>
        <v>0</v>
      </c>
      <c r="O66" s="10">
        <f t="shared" si="1"/>
        <v>0</v>
      </c>
      <c r="P66" s="10">
        <f t="shared" si="2"/>
        <v>0</v>
      </c>
      <c r="Q66" s="10">
        <f t="shared" si="2"/>
        <v>0.5</v>
      </c>
      <c r="R66" s="10">
        <f t="shared" si="3"/>
        <v>1</v>
      </c>
      <c r="S66" s="10">
        <f t="shared" si="4"/>
        <v>1.5</v>
      </c>
      <c r="T66" s="10" t="str">
        <f t="shared" si="5"/>
        <v>★½</v>
      </c>
    </row>
    <row r="67" spans="1:20" s="4" customFormat="1" ht="20" thickBot="1" x14ac:dyDescent="0.3">
      <c r="A67" s="4" t="s">
        <v>188</v>
      </c>
      <c r="B67" s="4" t="s">
        <v>20</v>
      </c>
      <c r="C67" s="4" t="s">
        <v>109</v>
      </c>
      <c r="D67" s="4" t="s">
        <v>85</v>
      </c>
      <c r="E67" s="4">
        <v>23</v>
      </c>
      <c r="F67" s="4">
        <v>3086.9999999999995</v>
      </c>
      <c r="G67" s="4">
        <v>534</v>
      </c>
      <c r="H67" s="5">
        <v>0.376</v>
      </c>
      <c r="I67" s="4">
        <v>72</v>
      </c>
      <c r="J67" s="4">
        <v>2</v>
      </c>
      <c r="K67" s="4">
        <v>6</v>
      </c>
      <c r="L67" s="4">
        <v>0</v>
      </c>
      <c r="M67" s="6"/>
      <c r="N67" s="10">
        <f t="shared" ref="N67:N130" si="6">IFERROR(_xlfn.IFS(F67&gt;=F$326,1,F67&gt;=F$325,0.5),0)</f>
        <v>1</v>
      </c>
      <c r="O67" s="10">
        <f t="shared" ref="O67:O130" si="7">IFERROR(_xlfn.IFS(AND(G67&gt;=G$326,H67&gt;=H$326),1,AND(G67&gt;=G$325,H67&gt;=H$325),0.5),0)</f>
        <v>1</v>
      </c>
      <c r="P67" s="10">
        <f t="shared" ref="P67:Q130" si="8">IFERROR(_xlfn.IFS(I67&gt;=I$326,1,I67&gt;=I$325,0.5),0)</f>
        <v>1</v>
      </c>
      <c r="Q67" s="10">
        <f t="shared" si="8"/>
        <v>0.5</v>
      </c>
      <c r="R67" s="10">
        <f t="shared" ref="R67:R130" si="9">IFERROR(_xlfn.IFS(AND(K67&lt;=K$326,L67&lt;=L$326),1,AND(K67&lt;=K$325,L67&lt;=L$325),0.5),0)</f>
        <v>0</v>
      </c>
      <c r="S67" s="10">
        <f t="shared" ref="S67:S130" si="10">SUM(N67:R67)</f>
        <v>3.5</v>
      </c>
      <c r="T67" s="10" t="str">
        <f t="shared" ref="T67:T130" si="11">_xlfn.IFS(S67=0,"☆",S67=0.5,"☆½",  S67=1,"★",S67 =1.5,"★½", S67 =2.5,"★★½", S67=2,"★★", S67=3,"★★★", S67 =3.5,"★★★½",S67=4,"★★★★", S67 =4.5,"★★★★½", S67=5,"★★★★★")</f>
        <v>★★★½</v>
      </c>
    </row>
    <row r="68" spans="1:20" s="4" customFormat="1" ht="20" thickBot="1" x14ac:dyDescent="0.3">
      <c r="A68" s="4" t="s">
        <v>189</v>
      </c>
      <c r="B68" s="4" t="s">
        <v>29</v>
      </c>
      <c r="C68" s="4" t="s">
        <v>116</v>
      </c>
      <c r="D68" s="4" t="s">
        <v>81</v>
      </c>
      <c r="E68" s="4">
        <v>19</v>
      </c>
      <c r="F68" s="4">
        <v>180</v>
      </c>
      <c r="G68" s="4">
        <v>43</v>
      </c>
      <c r="H68" s="5">
        <v>0.20899999999999999</v>
      </c>
      <c r="I68" s="4">
        <v>1</v>
      </c>
      <c r="J68" s="4">
        <v>0</v>
      </c>
      <c r="K68" s="4">
        <v>0</v>
      </c>
      <c r="L68" s="4">
        <v>0</v>
      </c>
      <c r="M68" s="6"/>
      <c r="N68" s="10">
        <f t="shared" si="6"/>
        <v>0</v>
      </c>
      <c r="O68" s="10">
        <f t="shared" si="7"/>
        <v>0</v>
      </c>
      <c r="P68" s="10">
        <f t="shared" si="8"/>
        <v>0</v>
      </c>
      <c r="Q68" s="10">
        <f t="shared" si="8"/>
        <v>0.5</v>
      </c>
      <c r="R68" s="10">
        <f t="shared" si="9"/>
        <v>1</v>
      </c>
      <c r="S68" s="10">
        <f t="shared" si="10"/>
        <v>1.5</v>
      </c>
      <c r="T68" s="10" t="str">
        <f t="shared" si="11"/>
        <v>★½</v>
      </c>
    </row>
    <row r="69" spans="1:20" s="4" customFormat="1" ht="20" thickBot="1" x14ac:dyDescent="0.3">
      <c r="A69" s="4" t="s">
        <v>190</v>
      </c>
      <c r="B69" s="4" t="s">
        <v>165</v>
      </c>
      <c r="C69" s="4" t="s">
        <v>171</v>
      </c>
      <c r="D69" s="4" t="s">
        <v>58</v>
      </c>
      <c r="E69" s="4">
        <v>30</v>
      </c>
      <c r="F69" s="4">
        <v>2916</v>
      </c>
      <c r="G69" s="4">
        <v>531</v>
      </c>
      <c r="H69" s="5">
        <v>0.33300000000000002</v>
      </c>
      <c r="I69" s="4">
        <v>64</v>
      </c>
      <c r="J69" s="4">
        <v>2</v>
      </c>
      <c r="K69" s="4">
        <v>5</v>
      </c>
      <c r="L69" s="4">
        <v>0</v>
      </c>
      <c r="M69" s="6"/>
      <c r="N69" s="10">
        <f t="shared" si="6"/>
        <v>1</v>
      </c>
      <c r="O69" s="10">
        <f t="shared" si="7"/>
        <v>1</v>
      </c>
      <c r="P69" s="10">
        <f t="shared" si="8"/>
        <v>1</v>
      </c>
      <c r="Q69" s="10">
        <f t="shared" si="8"/>
        <v>0.5</v>
      </c>
      <c r="R69" s="10">
        <f t="shared" si="9"/>
        <v>0</v>
      </c>
      <c r="S69" s="10">
        <f t="shared" si="10"/>
        <v>3.5</v>
      </c>
      <c r="T69" s="10" t="str">
        <f t="shared" si="11"/>
        <v>★★★½</v>
      </c>
    </row>
    <row r="70" spans="1:20" s="4" customFormat="1" ht="20" thickBot="1" x14ac:dyDescent="0.3">
      <c r="A70" s="4" t="s">
        <v>191</v>
      </c>
      <c r="B70" s="4" t="s">
        <v>83</v>
      </c>
      <c r="C70" s="4" t="s">
        <v>109</v>
      </c>
      <c r="D70" s="4" t="s">
        <v>47</v>
      </c>
      <c r="E70" s="4">
        <v>22</v>
      </c>
      <c r="F70" s="4">
        <v>1800</v>
      </c>
      <c r="G70" s="4">
        <v>232</v>
      </c>
      <c r="H70" s="7">
        <v>0.31</v>
      </c>
      <c r="I70" s="4">
        <v>37</v>
      </c>
      <c r="J70" s="4">
        <v>0</v>
      </c>
      <c r="K70" s="4">
        <v>4</v>
      </c>
      <c r="L70" s="4">
        <v>0</v>
      </c>
      <c r="M70" s="6"/>
      <c r="N70" s="10">
        <f t="shared" si="6"/>
        <v>1</v>
      </c>
      <c r="O70" s="10">
        <f t="shared" si="7"/>
        <v>0</v>
      </c>
      <c r="P70" s="10">
        <f t="shared" si="8"/>
        <v>1</v>
      </c>
      <c r="Q70" s="10">
        <f t="shared" si="8"/>
        <v>0.5</v>
      </c>
      <c r="R70" s="10">
        <f t="shared" si="9"/>
        <v>0</v>
      </c>
      <c r="S70" s="10">
        <f t="shared" si="10"/>
        <v>2.5</v>
      </c>
      <c r="T70" s="10" t="str">
        <f t="shared" si="11"/>
        <v>★★½</v>
      </c>
    </row>
    <row r="71" spans="1:20" s="4" customFormat="1" ht="20" thickBot="1" x14ac:dyDescent="0.3">
      <c r="A71" s="4" t="s">
        <v>192</v>
      </c>
      <c r="B71" s="4" t="s">
        <v>52</v>
      </c>
      <c r="C71" s="4" t="s">
        <v>109</v>
      </c>
      <c r="D71" s="4" t="s">
        <v>65</v>
      </c>
      <c r="E71" s="4">
        <v>28</v>
      </c>
      <c r="F71" s="4">
        <v>2538</v>
      </c>
      <c r="G71" s="4">
        <v>269</v>
      </c>
      <c r="H71" s="7">
        <v>0.32</v>
      </c>
      <c r="I71" s="4">
        <v>39</v>
      </c>
      <c r="J71" s="4">
        <v>2</v>
      </c>
      <c r="K71" s="4">
        <v>6</v>
      </c>
      <c r="L71" s="4">
        <v>0</v>
      </c>
      <c r="M71" s="6"/>
      <c r="N71" s="10">
        <f t="shared" si="6"/>
        <v>1</v>
      </c>
      <c r="O71" s="10">
        <f t="shared" si="7"/>
        <v>1</v>
      </c>
      <c r="P71" s="10">
        <f t="shared" si="8"/>
        <v>1</v>
      </c>
      <c r="Q71" s="10">
        <f t="shared" si="8"/>
        <v>0.5</v>
      </c>
      <c r="R71" s="10">
        <f t="shared" si="9"/>
        <v>0</v>
      </c>
      <c r="S71" s="10">
        <f t="shared" si="10"/>
        <v>3.5</v>
      </c>
      <c r="T71" s="10" t="str">
        <f t="shared" si="11"/>
        <v>★★★½</v>
      </c>
    </row>
    <row r="72" spans="1:20" s="4" customFormat="1" ht="20" thickBot="1" x14ac:dyDescent="0.3">
      <c r="A72" s="4" t="s">
        <v>193</v>
      </c>
      <c r="B72" s="4" t="s">
        <v>29</v>
      </c>
      <c r="C72" s="4" t="s">
        <v>116</v>
      </c>
      <c r="D72" s="4" t="s">
        <v>27</v>
      </c>
      <c r="E72" s="4">
        <v>23</v>
      </c>
      <c r="F72" s="4">
        <v>234</v>
      </c>
      <c r="G72" s="4">
        <v>49</v>
      </c>
      <c r="H72" s="5">
        <v>0.26500000000000001</v>
      </c>
      <c r="I72" s="4">
        <v>4</v>
      </c>
      <c r="J72" s="4">
        <v>1</v>
      </c>
      <c r="K72" s="4">
        <v>1</v>
      </c>
      <c r="L72" s="4">
        <v>0</v>
      </c>
      <c r="M72" s="6"/>
      <c r="N72" s="10">
        <f t="shared" si="6"/>
        <v>0</v>
      </c>
      <c r="O72" s="10">
        <f t="shared" si="7"/>
        <v>0</v>
      </c>
      <c r="P72" s="10">
        <f t="shared" si="8"/>
        <v>0</v>
      </c>
      <c r="Q72" s="10">
        <f t="shared" si="8"/>
        <v>0.5</v>
      </c>
      <c r="R72" s="10">
        <f t="shared" si="9"/>
        <v>1</v>
      </c>
      <c r="S72" s="10">
        <f t="shared" si="10"/>
        <v>1.5</v>
      </c>
      <c r="T72" s="10" t="str">
        <f t="shared" si="11"/>
        <v>★½</v>
      </c>
    </row>
    <row r="73" spans="1:20" s="4" customFormat="1" ht="20" thickBot="1" x14ac:dyDescent="0.3">
      <c r="A73" s="4" t="s">
        <v>194</v>
      </c>
      <c r="B73" s="4" t="s">
        <v>29</v>
      </c>
      <c r="C73" s="4" t="s">
        <v>109</v>
      </c>
      <c r="D73" s="4" t="s">
        <v>18</v>
      </c>
      <c r="E73" s="4">
        <v>31</v>
      </c>
      <c r="F73" s="4">
        <v>2754</v>
      </c>
      <c r="G73" s="4">
        <v>199</v>
      </c>
      <c r="H73" s="5">
        <v>0.33700000000000002</v>
      </c>
      <c r="I73" s="4">
        <v>66</v>
      </c>
      <c r="J73" s="4">
        <v>4</v>
      </c>
      <c r="K73" s="4">
        <v>5</v>
      </c>
      <c r="L73" s="4">
        <v>1</v>
      </c>
      <c r="M73" s="6"/>
      <c r="N73" s="10">
        <f t="shared" si="6"/>
        <v>1</v>
      </c>
      <c r="O73" s="10">
        <f t="shared" si="7"/>
        <v>0.5</v>
      </c>
      <c r="P73" s="10">
        <f t="shared" si="8"/>
        <v>1</v>
      </c>
      <c r="Q73" s="10">
        <f t="shared" si="8"/>
        <v>1</v>
      </c>
      <c r="R73" s="10">
        <f t="shared" si="9"/>
        <v>0</v>
      </c>
      <c r="S73" s="10">
        <f t="shared" si="10"/>
        <v>3.5</v>
      </c>
      <c r="T73" s="10" t="str">
        <f t="shared" si="11"/>
        <v>★★★½</v>
      </c>
    </row>
    <row r="74" spans="1:20" s="4" customFormat="1" ht="20" thickBot="1" x14ac:dyDescent="0.3">
      <c r="A74" s="4" t="s">
        <v>195</v>
      </c>
      <c r="B74" s="4" t="s">
        <v>162</v>
      </c>
      <c r="C74" s="4" t="s">
        <v>116</v>
      </c>
      <c r="D74" s="4" t="s">
        <v>39</v>
      </c>
      <c r="E74" s="4">
        <v>30</v>
      </c>
      <c r="F74" s="4">
        <v>2205</v>
      </c>
      <c r="G74" s="4">
        <v>361</v>
      </c>
      <c r="H74" s="5">
        <v>0.27100000000000002</v>
      </c>
      <c r="I74" s="4">
        <v>34</v>
      </c>
      <c r="J74" s="4">
        <v>23</v>
      </c>
      <c r="K74" s="4">
        <v>2</v>
      </c>
      <c r="L74" s="4">
        <v>0</v>
      </c>
      <c r="M74" s="6"/>
      <c r="N74" s="10">
        <f t="shared" si="6"/>
        <v>1</v>
      </c>
      <c r="O74" s="10">
        <f t="shared" si="7"/>
        <v>0</v>
      </c>
      <c r="P74" s="10">
        <f t="shared" si="8"/>
        <v>1</v>
      </c>
      <c r="Q74" s="10">
        <f t="shared" si="8"/>
        <v>1</v>
      </c>
      <c r="R74" s="10">
        <f t="shared" si="9"/>
        <v>1</v>
      </c>
      <c r="S74" s="10">
        <f t="shared" si="10"/>
        <v>4</v>
      </c>
      <c r="T74" s="10" t="str">
        <f t="shared" si="11"/>
        <v>★★★★</v>
      </c>
    </row>
    <row r="75" spans="1:20" s="4" customFormat="1" ht="20" thickBot="1" x14ac:dyDescent="0.3">
      <c r="A75" s="4" t="s">
        <v>196</v>
      </c>
      <c r="B75" s="4" t="s">
        <v>29</v>
      </c>
      <c r="C75" s="4" t="s">
        <v>116</v>
      </c>
      <c r="D75" s="4" t="s">
        <v>27</v>
      </c>
      <c r="E75" s="4">
        <v>31</v>
      </c>
      <c r="F75" s="4">
        <v>666</v>
      </c>
      <c r="G75" s="4">
        <v>127</v>
      </c>
      <c r="H75" s="5">
        <v>0.307</v>
      </c>
      <c r="I75" s="4">
        <v>13</v>
      </c>
      <c r="J75" s="4">
        <v>0</v>
      </c>
      <c r="K75" s="4">
        <v>2</v>
      </c>
      <c r="L75" s="4">
        <v>0</v>
      </c>
      <c r="M75" s="6"/>
      <c r="N75" s="10">
        <f t="shared" si="6"/>
        <v>0</v>
      </c>
      <c r="O75" s="10">
        <f t="shared" si="7"/>
        <v>0</v>
      </c>
      <c r="P75" s="10">
        <f t="shared" si="8"/>
        <v>0</v>
      </c>
      <c r="Q75" s="10">
        <f t="shared" si="8"/>
        <v>0.5</v>
      </c>
      <c r="R75" s="10">
        <f t="shared" si="9"/>
        <v>1</v>
      </c>
      <c r="S75" s="10">
        <f t="shared" si="10"/>
        <v>1.5</v>
      </c>
      <c r="T75" s="10" t="str">
        <f t="shared" si="11"/>
        <v>★½</v>
      </c>
    </row>
    <row r="76" spans="1:20" s="4" customFormat="1" ht="20" thickBot="1" x14ac:dyDescent="0.3">
      <c r="A76" s="4" t="s">
        <v>197</v>
      </c>
      <c r="B76" s="4" t="s">
        <v>162</v>
      </c>
      <c r="C76" s="4" t="s">
        <v>116</v>
      </c>
      <c r="D76" s="4" t="s">
        <v>81</v>
      </c>
      <c r="E76" s="4">
        <v>26</v>
      </c>
      <c r="F76" s="4">
        <v>1953</v>
      </c>
      <c r="G76" s="4">
        <v>442</v>
      </c>
      <c r="H76" s="5">
        <v>0.27100000000000002</v>
      </c>
      <c r="I76" s="4">
        <v>47</v>
      </c>
      <c r="J76" s="4">
        <v>4</v>
      </c>
      <c r="K76" s="4">
        <v>4</v>
      </c>
      <c r="L76" s="4">
        <v>0</v>
      </c>
      <c r="M76" s="6"/>
      <c r="N76" s="10">
        <f t="shared" si="6"/>
        <v>1</v>
      </c>
      <c r="O76" s="10">
        <f t="shared" si="7"/>
        <v>0</v>
      </c>
      <c r="P76" s="10">
        <f t="shared" si="8"/>
        <v>1</v>
      </c>
      <c r="Q76" s="10">
        <f t="shared" si="8"/>
        <v>1</v>
      </c>
      <c r="R76" s="10">
        <f t="shared" si="9"/>
        <v>0</v>
      </c>
      <c r="S76" s="10">
        <f t="shared" si="10"/>
        <v>3</v>
      </c>
      <c r="T76" s="10" t="str">
        <f t="shared" si="11"/>
        <v>★★★</v>
      </c>
    </row>
    <row r="77" spans="1:20" s="4" customFormat="1" ht="20" thickBot="1" x14ac:dyDescent="0.3">
      <c r="A77" s="4" t="s">
        <v>198</v>
      </c>
      <c r="B77" s="4" t="s">
        <v>29</v>
      </c>
      <c r="C77" s="4" t="s">
        <v>116</v>
      </c>
      <c r="D77" s="4" t="s">
        <v>87</v>
      </c>
      <c r="E77" s="4">
        <v>22</v>
      </c>
      <c r="F77" s="4">
        <v>2106</v>
      </c>
      <c r="G77" s="4">
        <v>468</v>
      </c>
      <c r="H77" s="5">
        <v>0.24099999999999999</v>
      </c>
      <c r="I77" s="4">
        <v>46</v>
      </c>
      <c r="J77" s="4">
        <v>3</v>
      </c>
      <c r="K77" s="4">
        <v>4</v>
      </c>
      <c r="L77" s="4">
        <v>0</v>
      </c>
      <c r="M77" s="6"/>
      <c r="N77" s="10">
        <f t="shared" si="6"/>
        <v>1</v>
      </c>
      <c r="O77" s="10">
        <f t="shared" si="7"/>
        <v>0</v>
      </c>
      <c r="P77" s="10">
        <f t="shared" si="8"/>
        <v>1</v>
      </c>
      <c r="Q77" s="10">
        <f t="shared" si="8"/>
        <v>1</v>
      </c>
      <c r="R77" s="10">
        <f t="shared" si="9"/>
        <v>0</v>
      </c>
      <c r="S77" s="10">
        <f t="shared" si="10"/>
        <v>3</v>
      </c>
      <c r="T77" s="10" t="str">
        <f t="shared" si="11"/>
        <v>★★★</v>
      </c>
    </row>
    <row r="78" spans="1:20" s="4" customFormat="1" ht="20" thickBot="1" x14ac:dyDescent="0.3">
      <c r="A78" s="4" t="s">
        <v>199</v>
      </c>
      <c r="B78" s="4" t="s">
        <v>17</v>
      </c>
      <c r="C78" s="4" t="s">
        <v>116</v>
      </c>
      <c r="D78" s="4" t="s">
        <v>33</v>
      </c>
      <c r="E78" s="4">
        <v>22</v>
      </c>
      <c r="F78" s="4">
        <v>1026</v>
      </c>
      <c r="G78" s="4">
        <v>229</v>
      </c>
      <c r="H78" s="5">
        <v>0.29699999999999999</v>
      </c>
      <c r="I78" s="4">
        <v>10</v>
      </c>
      <c r="J78" s="4">
        <v>2</v>
      </c>
      <c r="K78" s="4">
        <v>1</v>
      </c>
      <c r="L78" s="4">
        <v>0</v>
      </c>
      <c r="M78" s="6"/>
      <c r="N78" s="10">
        <f t="shared" si="6"/>
        <v>0</v>
      </c>
      <c r="O78" s="10">
        <f t="shared" si="7"/>
        <v>0</v>
      </c>
      <c r="P78" s="10">
        <f t="shared" si="8"/>
        <v>0</v>
      </c>
      <c r="Q78" s="10">
        <f t="shared" si="8"/>
        <v>0.5</v>
      </c>
      <c r="R78" s="10">
        <f t="shared" si="9"/>
        <v>1</v>
      </c>
      <c r="S78" s="10">
        <f t="shared" si="10"/>
        <v>1.5</v>
      </c>
      <c r="T78" s="10" t="str">
        <f t="shared" si="11"/>
        <v>★½</v>
      </c>
    </row>
    <row r="79" spans="1:20" s="4" customFormat="1" ht="20" thickBot="1" x14ac:dyDescent="0.3">
      <c r="A79" s="4" t="s">
        <v>200</v>
      </c>
      <c r="B79" s="4" t="s">
        <v>83</v>
      </c>
      <c r="C79" s="4" t="s">
        <v>109</v>
      </c>
      <c r="D79" s="4" t="s">
        <v>39</v>
      </c>
      <c r="E79" s="4">
        <v>24</v>
      </c>
      <c r="F79" s="4">
        <v>2403</v>
      </c>
      <c r="G79" s="4">
        <v>153</v>
      </c>
      <c r="H79" s="5">
        <v>0.44400000000000001</v>
      </c>
      <c r="I79" s="4">
        <v>28</v>
      </c>
      <c r="J79" s="4">
        <v>6</v>
      </c>
      <c r="K79" s="4">
        <v>5</v>
      </c>
      <c r="L79" s="4">
        <v>0</v>
      </c>
      <c r="M79" s="6"/>
      <c r="N79" s="10">
        <f t="shared" si="6"/>
        <v>1</v>
      </c>
      <c r="O79" s="10">
        <f t="shared" si="7"/>
        <v>0</v>
      </c>
      <c r="P79" s="10">
        <f t="shared" si="8"/>
        <v>0.5</v>
      </c>
      <c r="Q79" s="10">
        <f t="shared" si="8"/>
        <v>1</v>
      </c>
      <c r="R79" s="10">
        <f t="shared" si="9"/>
        <v>0</v>
      </c>
      <c r="S79" s="10">
        <f t="shared" si="10"/>
        <v>2.5</v>
      </c>
      <c r="T79" s="10" t="str">
        <f t="shared" si="11"/>
        <v>★★½</v>
      </c>
    </row>
    <row r="80" spans="1:20" s="4" customFormat="1" ht="20" thickBot="1" x14ac:dyDescent="0.3">
      <c r="A80" s="4" t="s">
        <v>201</v>
      </c>
      <c r="B80" s="4" t="s">
        <v>29</v>
      </c>
      <c r="C80" s="4" t="s">
        <v>109</v>
      </c>
      <c r="D80" s="4" t="s">
        <v>65</v>
      </c>
      <c r="E80" s="4">
        <v>27</v>
      </c>
      <c r="F80" s="4">
        <v>3069</v>
      </c>
      <c r="G80" s="4">
        <v>181</v>
      </c>
      <c r="H80" s="5">
        <v>0.38700000000000001</v>
      </c>
      <c r="I80" s="4">
        <v>56</v>
      </c>
      <c r="J80" s="4">
        <v>0</v>
      </c>
      <c r="K80" s="4">
        <v>1</v>
      </c>
      <c r="L80" s="4">
        <v>0</v>
      </c>
      <c r="M80" s="6"/>
      <c r="N80" s="10">
        <f t="shared" si="6"/>
        <v>1</v>
      </c>
      <c r="O80" s="10">
        <f t="shared" si="7"/>
        <v>0.5</v>
      </c>
      <c r="P80" s="10">
        <f t="shared" si="8"/>
        <v>1</v>
      </c>
      <c r="Q80" s="10">
        <f t="shared" si="8"/>
        <v>0.5</v>
      </c>
      <c r="R80" s="10">
        <f t="shared" si="9"/>
        <v>1</v>
      </c>
      <c r="S80" s="10">
        <f t="shared" si="10"/>
        <v>4</v>
      </c>
      <c r="T80" s="10" t="str">
        <f t="shared" si="11"/>
        <v>★★★★</v>
      </c>
    </row>
    <row r="81" spans="1:20" s="4" customFormat="1" ht="20" thickBot="1" x14ac:dyDescent="0.3">
      <c r="A81" s="4" t="s">
        <v>202</v>
      </c>
      <c r="B81" s="4" t="s">
        <v>17</v>
      </c>
      <c r="C81" s="4" t="s">
        <v>109</v>
      </c>
      <c r="D81" s="4" t="s">
        <v>69</v>
      </c>
      <c r="E81" s="4">
        <v>28</v>
      </c>
      <c r="F81" s="4">
        <v>1269</v>
      </c>
      <c r="G81" s="4">
        <v>157</v>
      </c>
      <c r="H81" s="5">
        <v>0.217</v>
      </c>
      <c r="I81" s="4">
        <v>29</v>
      </c>
      <c r="J81" s="4">
        <v>4</v>
      </c>
      <c r="K81" s="4">
        <v>2</v>
      </c>
      <c r="L81" s="4">
        <v>0</v>
      </c>
      <c r="M81" s="6"/>
      <c r="N81" s="10">
        <f t="shared" si="6"/>
        <v>0</v>
      </c>
      <c r="O81" s="10">
        <f t="shared" si="7"/>
        <v>0</v>
      </c>
      <c r="P81" s="10">
        <f t="shared" si="8"/>
        <v>1</v>
      </c>
      <c r="Q81" s="10">
        <f t="shared" si="8"/>
        <v>1</v>
      </c>
      <c r="R81" s="10">
        <f t="shared" si="9"/>
        <v>1</v>
      </c>
      <c r="S81" s="10">
        <f t="shared" si="10"/>
        <v>3</v>
      </c>
      <c r="T81" s="10" t="str">
        <f t="shared" si="11"/>
        <v>★★★</v>
      </c>
    </row>
    <row r="82" spans="1:20" s="4" customFormat="1" ht="20" thickBot="1" x14ac:dyDescent="0.3">
      <c r="A82" s="4" t="s">
        <v>202</v>
      </c>
      <c r="B82" s="4" t="s">
        <v>17</v>
      </c>
      <c r="C82" s="4" t="s">
        <v>109</v>
      </c>
      <c r="D82" s="4" t="s">
        <v>27</v>
      </c>
      <c r="E82" s="4">
        <v>28</v>
      </c>
      <c r="F82" s="4">
        <v>1170</v>
      </c>
      <c r="G82" s="4">
        <v>161</v>
      </c>
      <c r="H82" s="5">
        <v>0.26700000000000002</v>
      </c>
      <c r="I82" s="4">
        <v>28</v>
      </c>
      <c r="J82" s="4">
        <v>0</v>
      </c>
      <c r="K82" s="4">
        <v>4</v>
      </c>
      <c r="L82" s="4">
        <v>0</v>
      </c>
      <c r="M82" s="6"/>
      <c r="N82" s="10">
        <f t="shared" si="6"/>
        <v>0</v>
      </c>
      <c r="O82" s="10">
        <f t="shared" si="7"/>
        <v>0</v>
      </c>
      <c r="P82" s="10">
        <f t="shared" si="8"/>
        <v>0.5</v>
      </c>
      <c r="Q82" s="10">
        <f t="shared" si="8"/>
        <v>0.5</v>
      </c>
      <c r="R82" s="10">
        <f t="shared" si="9"/>
        <v>0</v>
      </c>
      <c r="S82" s="10">
        <f t="shared" si="10"/>
        <v>1</v>
      </c>
      <c r="T82" s="10" t="str">
        <f t="shared" si="11"/>
        <v>★</v>
      </c>
    </row>
    <row r="83" spans="1:20" s="4" customFormat="1" ht="20" thickBot="1" x14ac:dyDescent="0.3">
      <c r="A83" s="4" t="s">
        <v>203</v>
      </c>
      <c r="B83" s="4" t="s">
        <v>17</v>
      </c>
      <c r="C83" s="4" t="s">
        <v>109</v>
      </c>
      <c r="D83" s="4" t="s">
        <v>18</v>
      </c>
      <c r="E83" s="4">
        <v>24</v>
      </c>
      <c r="F83" s="4">
        <v>962.99999999999989</v>
      </c>
      <c r="G83" s="4">
        <v>72</v>
      </c>
      <c r="H83" s="5">
        <v>0.38900000000000001</v>
      </c>
      <c r="I83" s="4">
        <v>23</v>
      </c>
      <c r="J83" s="4">
        <v>1</v>
      </c>
      <c r="K83" s="4">
        <v>0</v>
      </c>
      <c r="L83" s="4">
        <v>0</v>
      </c>
      <c r="M83" s="6"/>
      <c r="N83" s="10">
        <f t="shared" si="6"/>
        <v>0</v>
      </c>
      <c r="O83" s="10">
        <f t="shared" si="7"/>
        <v>0</v>
      </c>
      <c r="P83" s="10">
        <f t="shared" si="8"/>
        <v>0</v>
      </c>
      <c r="Q83" s="10">
        <f t="shared" si="8"/>
        <v>0.5</v>
      </c>
      <c r="R83" s="10">
        <f t="shared" si="9"/>
        <v>1</v>
      </c>
      <c r="S83" s="10">
        <f t="shared" si="10"/>
        <v>1.5</v>
      </c>
      <c r="T83" s="10" t="str">
        <f t="shared" si="11"/>
        <v>★½</v>
      </c>
    </row>
    <row r="84" spans="1:20" s="4" customFormat="1" ht="20" thickBot="1" x14ac:dyDescent="0.3">
      <c r="A84" s="4" t="s">
        <v>204</v>
      </c>
      <c r="B84" s="4" t="s">
        <v>148</v>
      </c>
      <c r="C84" s="4" t="s">
        <v>116</v>
      </c>
      <c r="D84" s="4" t="s">
        <v>33</v>
      </c>
      <c r="E84" s="4">
        <v>23</v>
      </c>
      <c r="F84" s="4">
        <v>458.99999999999994</v>
      </c>
      <c r="G84" s="4">
        <v>104</v>
      </c>
      <c r="H84" s="7">
        <v>0.24</v>
      </c>
      <c r="I84" s="4">
        <v>9</v>
      </c>
      <c r="J84" s="4">
        <v>0</v>
      </c>
      <c r="K84" s="4">
        <v>3</v>
      </c>
      <c r="L84" s="4">
        <v>0</v>
      </c>
      <c r="M84" s="6"/>
      <c r="N84" s="10">
        <f t="shared" si="6"/>
        <v>0</v>
      </c>
      <c r="O84" s="10">
        <f t="shared" si="7"/>
        <v>0</v>
      </c>
      <c r="P84" s="10">
        <f t="shared" si="8"/>
        <v>0</v>
      </c>
      <c r="Q84" s="10">
        <f t="shared" si="8"/>
        <v>0.5</v>
      </c>
      <c r="R84" s="10">
        <f t="shared" si="9"/>
        <v>0</v>
      </c>
      <c r="S84" s="10">
        <f t="shared" si="10"/>
        <v>0.5</v>
      </c>
      <c r="T84" s="10" t="str">
        <f t="shared" si="11"/>
        <v>☆½</v>
      </c>
    </row>
    <row r="85" spans="1:20" s="4" customFormat="1" ht="20" thickBot="1" x14ac:dyDescent="0.3">
      <c r="A85" s="4" t="s">
        <v>205</v>
      </c>
      <c r="B85" s="4" t="s">
        <v>55</v>
      </c>
      <c r="C85" s="4" t="s">
        <v>109</v>
      </c>
      <c r="D85" s="4" t="s">
        <v>65</v>
      </c>
      <c r="E85" s="4">
        <v>29</v>
      </c>
      <c r="F85" s="4">
        <v>872.99999999999989</v>
      </c>
      <c r="G85" s="4">
        <v>120</v>
      </c>
      <c r="H85" s="7">
        <v>0.35</v>
      </c>
      <c r="I85" s="4">
        <v>24</v>
      </c>
      <c r="J85" s="4">
        <v>6</v>
      </c>
      <c r="K85" s="4">
        <v>0</v>
      </c>
      <c r="L85" s="4">
        <v>0</v>
      </c>
      <c r="M85" s="6"/>
      <c r="N85" s="10">
        <f t="shared" si="6"/>
        <v>0</v>
      </c>
      <c r="O85" s="10">
        <f t="shared" si="7"/>
        <v>0</v>
      </c>
      <c r="P85" s="10">
        <f t="shared" si="8"/>
        <v>0</v>
      </c>
      <c r="Q85" s="10">
        <f t="shared" si="8"/>
        <v>1</v>
      </c>
      <c r="R85" s="10">
        <f t="shared" si="9"/>
        <v>1</v>
      </c>
      <c r="S85" s="10">
        <f t="shared" si="10"/>
        <v>2</v>
      </c>
      <c r="T85" s="10" t="str">
        <f t="shared" si="11"/>
        <v>★★</v>
      </c>
    </row>
    <row r="86" spans="1:20" s="4" customFormat="1" ht="20" thickBot="1" x14ac:dyDescent="0.3">
      <c r="A86" s="4" t="s">
        <v>206</v>
      </c>
      <c r="B86" s="4" t="s">
        <v>14</v>
      </c>
      <c r="C86" s="4" t="s">
        <v>109</v>
      </c>
      <c r="D86" s="4" t="s">
        <v>63</v>
      </c>
      <c r="E86" s="4">
        <v>23</v>
      </c>
      <c r="F86" s="4">
        <v>3060</v>
      </c>
      <c r="G86" s="4">
        <v>222</v>
      </c>
      <c r="H86" s="5">
        <v>0.38700000000000001</v>
      </c>
      <c r="I86" s="4">
        <v>49</v>
      </c>
      <c r="J86" s="4">
        <v>5</v>
      </c>
      <c r="K86" s="4">
        <v>8</v>
      </c>
      <c r="L86" s="4">
        <v>1</v>
      </c>
      <c r="M86" s="6"/>
      <c r="N86" s="10">
        <f t="shared" si="6"/>
        <v>1</v>
      </c>
      <c r="O86" s="10">
        <f t="shared" si="7"/>
        <v>1</v>
      </c>
      <c r="P86" s="10">
        <f t="shared" si="8"/>
        <v>1</v>
      </c>
      <c r="Q86" s="10">
        <f t="shared" si="8"/>
        <v>1</v>
      </c>
      <c r="R86" s="10">
        <f t="shared" si="9"/>
        <v>0</v>
      </c>
      <c r="S86" s="10">
        <f t="shared" si="10"/>
        <v>4</v>
      </c>
      <c r="T86" s="10" t="str">
        <f t="shared" si="11"/>
        <v>★★★★</v>
      </c>
    </row>
    <row r="87" spans="1:20" s="4" customFormat="1" ht="20" thickBot="1" x14ac:dyDescent="0.3">
      <c r="A87" s="4" t="s">
        <v>207</v>
      </c>
      <c r="B87" s="4" t="s">
        <v>148</v>
      </c>
      <c r="C87" s="4" t="s">
        <v>116</v>
      </c>
      <c r="D87" s="4" t="s">
        <v>27</v>
      </c>
      <c r="E87" s="4">
        <v>28</v>
      </c>
      <c r="F87" s="4">
        <v>2538</v>
      </c>
      <c r="G87" s="4">
        <v>656</v>
      </c>
      <c r="H87" s="5">
        <v>0.27300000000000002</v>
      </c>
      <c r="I87" s="4">
        <v>42</v>
      </c>
      <c r="J87" s="4">
        <v>6</v>
      </c>
      <c r="K87" s="4">
        <v>6</v>
      </c>
      <c r="L87" s="4">
        <v>0</v>
      </c>
      <c r="M87" s="6"/>
      <c r="N87" s="10">
        <f t="shared" si="6"/>
        <v>1</v>
      </c>
      <c r="O87" s="10">
        <f t="shared" si="7"/>
        <v>0</v>
      </c>
      <c r="P87" s="10">
        <f t="shared" si="8"/>
        <v>1</v>
      </c>
      <c r="Q87" s="10">
        <f t="shared" si="8"/>
        <v>1</v>
      </c>
      <c r="R87" s="10">
        <f t="shared" si="9"/>
        <v>0</v>
      </c>
      <c r="S87" s="10">
        <f t="shared" si="10"/>
        <v>3</v>
      </c>
      <c r="T87" s="10" t="str">
        <f t="shared" si="11"/>
        <v>★★★</v>
      </c>
    </row>
    <row r="88" spans="1:20" s="4" customFormat="1" ht="20" thickBot="1" x14ac:dyDescent="0.3">
      <c r="A88" s="4" t="s">
        <v>208</v>
      </c>
      <c r="B88" s="4" t="s">
        <v>29</v>
      </c>
      <c r="C88" s="4" t="s">
        <v>109</v>
      </c>
      <c r="D88" s="4" t="s">
        <v>58</v>
      </c>
      <c r="E88" s="4">
        <v>19</v>
      </c>
      <c r="F88" s="4">
        <v>125.99999999999999</v>
      </c>
      <c r="G88" s="4">
        <v>29</v>
      </c>
      <c r="H88" s="5">
        <v>0.27600000000000002</v>
      </c>
      <c r="I88" s="4">
        <v>2</v>
      </c>
      <c r="J88" s="4">
        <v>0</v>
      </c>
      <c r="K88" s="4">
        <v>1</v>
      </c>
      <c r="L88" s="4">
        <v>0</v>
      </c>
      <c r="M88" s="6"/>
      <c r="N88" s="10">
        <f t="shared" si="6"/>
        <v>0</v>
      </c>
      <c r="O88" s="10">
        <f t="shared" si="7"/>
        <v>0</v>
      </c>
      <c r="P88" s="10">
        <f t="shared" si="8"/>
        <v>0</v>
      </c>
      <c r="Q88" s="10">
        <f t="shared" si="8"/>
        <v>0.5</v>
      </c>
      <c r="R88" s="10">
        <f t="shared" si="9"/>
        <v>1</v>
      </c>
      <c r="S88" s="10">
        <f t="shared" si="10"/>
        <v>1.5</v>
      </c>
      <c r="T88" s="10" t="str">
        <f t="shared" si="11"/>
        <v>★½</v>
      </c>
    </row>
    <row r="89" spans="1:20" s="4" customFormat="1" ht="20" thickBot="1" x14ac:dyDescent="0.3">
      <c r="A89" s="4" t="s">
        <v>209</v>
      </c>
      <c r="B89" s="4" t="s">
        <v>55</v>
      </c>
      <c r="C89" s="4" t="s">
        <v>109</v>
      </c>
      <c r="D89" s="4" t="s">
        <v>85</v>
      </c>
      <c r="E89" s="4">
        <v>29</v>
      </c>
      <c r="F89" s="4">
        <v>1440</v>
      </c>
      <c r="G89" s="4">
        <v>85</v>
      </c>
      <c r="H89" s="5">
        <v>0.224</v>
      </c>
      <c r="I89" s="4">
        <v>35</v>
      </c>
      <c r="J89" s="4">
        <v>1</v>
      </c>
      <c r="K89" s="4">
        <v>7</v>
      </c>
      <c r="L89" s="4">
        <v>0</v>
      </c>
      <c r="M89" s="6"/>
      <c r="N89" s="10">
        <f t="shared" si="6"/>
        <v>0.5</v>
      </c>
      <c r="O89" s="10">
        <f t="shared" si="7"/>
        <v>0</v>
      </c>
      <c r="P89" s="10">
        <f t="shared" si="8"/>
        <v>1</v>
      </c>
      <c r="Q89" s="10">
        <f t="shared" si="8"/>
        <v>0.5</v>
      </c>
      <c r="R89" s="10">
        <f t="shared" si="9"/>
        <v>0</v>
      </c>
      <c r="S89" s="10">
        <f t="shared" si="10"/>
        <v>2</v>
      </c>
      <c r="T89" s="10" t="str">
        <f t="shared" si="11"/>
        <v>★★</v>
      </c>
    </row>
    <row r="90" spans="1:20" s="4" customFormat="1" ht="20" thickBot="1" x14ac:dyDescent="0.3">
      <c r="A90" s="4" t="s">
        <v>210</v>
      </c>
      <c r="B90" s="4" t="s">
        <v>52</v>
      </c>
      <c r="C90" s="4" t="s">
        <v>109</v>
      </c>
      <c r="D90" s="4" t="s">
        <v>35</v>
      </c>
      <c r="E90" s="4">
        <v>29</v>
      </c>
      <c r="F90" s="4">
        <v>198.00000000000003</v>
      </c>
      <c r="G90" s="4">
        <v>31</v>
      </c>
      <c r="H90" s="5">
        <v>0.38700000000000001</v>
      </c>
      <c r="I90" s="4">
        <v>3</v>
      </c>
      <c r="J90" s="4">
        <v>0</v>
      </c>
      <c r="K90" s="4">
        <v>2</v>
      </c>
      <c r="L90" s="4">
        <v>0</v>
      </c>
      <c r="M90" s="6"/>
      <c r="N90" s="10">
        <f t="shared" si="6"/>
        <v>0</v>
      </c>
      <c r="O90" s="10">
        <f t="shared" si="7"/>
        <v>0</v>
      </c>
      <c r="P90" s="10">
        <f t="shared" si="8"/>
        <v>0</v>
      </c>
      <c r="Q90" s="10">
        <f t="shared" si="8"/>
        <v>0.5</v>
      </c>
      <c r="R90" s="10">
        <f t="shared" si="9"/>
        <v>1</v>
      </c>
      <c r="S90" s="10">
        <f t="shared" si="10"/>
        <v>1.5</v>
      </c>
      <c r="T90" s="10" t="str">
        <f t="shared" si="11"/>
        <v>★½</v>
      </c>
    </row>
    <row r="91" spans="1:20" s="4" customFormat="1" ht="20" thickBot="1" x14ac:dyDescent="0.3">
      <c r="A91" s="4" t="s">
        <v>211</v>
      </c>
      <c r="B91" s="4" t="s">
        <v>29</v>
      </c>
      <c r="C91" s="4" t="s">
        <v>109</v>
      </c>
      <c r="D91" s="4" t="s">
        <v>85</v>
      </c>
      <c r="E91" s="4">
        <v>29</v>
      </c>
      <c r="F91" s="4">
        <v>2574</v>
      </c>
      <c r="G91" s="4">
        <v>125</v>
      </c>
      <c r="H91" s="5">
        <v>0.38400000000000001</v>
      </c>
      <c r="I91" s="4">
        <v>42</v>
      </c>
      <c r="J91" s="4">
        <v>1</v>
      </c>
      <c r="K91" s="4">
        <v>3</v>
      </c>
      <c r="L91" s="4">
        <v>1</v>
      </c>
      <c r="M91" s="6"/>
      <c r="N91" s="10">
        <f t="shared" si="6"/>
        <v>1</v>
      </c>
      <c r="O91" s="10">
        <f t="shared" si="7"/>
        <v>0</v>
      </c>
      <c r="P91" s="10">
        <f t="shared" si="8"/>
        <v>1</v>
      </c>
      <c r="Q91" s="10">
        <f t="shared" si="8"/>
        <v>0.5</v>
      </c>
      <c r="R91" s="10">
        <f t="shared" si="9"/>
        <v>0</v>
      </c>
      <c r="S91" s="10">
        <f t="shared" si="10"/>
        <v>2.5</v>
      </c>
      <c r="T91" s="10" t="str">
        <f t="shared" si="11"/>
        <v>★★½</v>
      </c>
    </row>
    <row r="92" spans="1:20" s="4" customFormat="1" ht="20" thickBot="1" x14ac:dyDescent="0.3">
      <c r="A92" s="4" t="s">
        <v>212</v>
      </c>
      <c r="B92" s="4" t="s">
        <v>29</v>
      </c>
      <c r="C92" s="4" t="s">
        <v>109</v>
      </c>
      <c r="D92" s="4" t="s">
        <v>39</v>
      </c>
      <c r="E92" s="4">
        <v>18</v>
      </c>
      <c r="F92" s="4">
        <v>0</v>
      </c>
      <c r="G92" s="4">
        <v>0</v>
      </c>
      <c r="H92" s="11" t="s">
        <v>129</v>
      </c>
      <c r="I92" s="4">
        <v>0</v>
      </c>
      <c r="J92" s="4">
        <v>0</v>
      </c>
      <c r="K92" s="4">
        <v>0</v>
      </c>
      <c r="L92" s="4">
        <v>0</v>
      </c>
      <c r="M92" s="6"/>
      <c r="N92" s="10">
        <f t="shared" si="6"/>
        <v>0</v>
      </c>
      <c r="O92" s="10">
        <f t="shared" si="7"/>
        <v>0</v>
      </c>
      <c r="P92" s="10">
        <f t="shared" si="8"/>
        <v>0</v>
      </c>
      <c r="Q92" s="10">
        <f t="shared" si="8"/>
        <v>0.5</v>
      </c>
      <c r="R92" s="10">
        <f t="shared" si="9"/>
        <v>1</v>
      </c>
      <c r="S92" s="10">
        <f t="shared" si="10"/>
        <v>1.5</v>
      </c>
      <c r="T92" s="10" t="str">
        <f t="shared" si="11"/>
        <v>★½</v>
      </c>
    </row>
    <row r="93" spans="1:20" s="4" customFormat="1" ht="20" thickBot="1" x14ac:dyDescent="0.3">
      <c r="A93" s="4" t="s">
        <v>213</v>
      </c>
      <c r="B93" s="4" t="s">
        <v>29</v>
      </c>
      <c r="C93" s="4" t="s">
        <v>116</v>
      </c>
      <c r="D93" s="4" t="s">
        <v>15</v>
      </c>
      <c r="E93" s="4">
        <v>18</v>
      </c>
      <c r="F93" s="4">
        <v>342</v>
      </c>
      <c r="G93" s="4">
        <v>94</v>
      </c>
      <c r="H93" s="5">
        <v>0.223</v>
      </c>
      <c r="I93" s="4">
        <v>9</v>
      </c>
      <c r="J93" s="4">
        <v>0</v>
      </c>
      <c r="K93" s="4">
        <v>0</v>
      </c>
      <c r="L93" s="4">
        <v>0</v>
      </c>
      <c r="M93" s="6"/>
      <c r="N93" s="10">
        <f t="shared" si="6"/>
        <v>0</v>
      </c>
      <c r="O93" s="10">
        <f t="shared" si="7"/>
        <v>0</v>
      </c>
      <c r="P93" s="10">
        <f t="shared" si="8"/>
        <v>0</v>
      </c>
      <c r="Q93" s="10">
        <f t="shared" si="8"/>
        <v>0.5</v>
      </c>
      <c r="R93" s="10">
        <f t="shared" si="9"/>
        <v>1</v>
      </c>
      <c r="S93" s="10">
        <f t="shared" si="10"/>
        <v>1.5</v>
      </c>
      <c r="T93" s="10" t="str">
        <f t="shared" si="11"/>
        <v>★½</v>
      </c>
    </row>
    <row r="94" spans="1:20" s="4" customFormat="1" ht="20" thickBot="1" x14ac:dyDescent="0.3">
      <c r="A94" s="4" t="s">
        <v>214</v>
      </c>
      <c r="B94" s="4" t="s">
        <v>215</v>
      </c>
      <c r="C94" s="4" t="s">
        <v>116</v>
      </c>
      <c r="D94" s="4" t="s">
        <v>63</v>
      </c>
      <c r="E94" s="4">
        <v>29</v>
      </c>
      <c r="F94" s="4">
        <v>810</v>
      </c>
      <c r="G94" s="4">
        <v>108</v>
      </c>
      <c r="H94" s="5">
        <v>0.35199999999999998</v>
      </c>
      <c r="I94" s="4">
        <v>9</v>
      </c>
      <c r="J94" s="4">
        <v>2</v>
      </c>
      <c r="K94" s="4">
        <v>1</v>
      </c>
      <c r="L94" s="4">
        <v>0</v>
      </c>
      <c r="M94" s="6"/>
      <c r="N94" s="10">
        <f t="shared" si="6"/>
        <v>0</v>
      </c>
      <c r="O94" s="10">
        <f t="shared" si="7"/>
        <v>0</v>
      </c>
      <c r="P94" s="10">
        <f t="shared" si="8"/>
        <v>0</v>
      </c>
      <c r="Q94" s="10">
        <f t="shared" si="8"/>
        <v>0.5</v>
      </c>
      <c r="R94" s="10">
        <f t="shared" si="9"/>
        <v>1</v>
      </c>
      <c r="S94" s="10">
        <f t="shared" si="10"/>
        <v>1.5</v>
      </c>
      <c r="T94" s="10" t="str">
        <f t="shared" si="11"/>
        <v>★½</v>
      </c>
    </row>
    <row r="95" spans="1:20" s="4" customFormat="1" ht="20" thickBot="1" x14ac:dyDescent="0.3">
      <c r="A95" s="4" t="s">
        <v>216</v>
      </c>
      <c r="B95" s="4" t="s">
        <v>14</v>
      </c>
      <c r="C95" s="4" t="s">
        <v>109</v>
      </c>
      <c r="D95" s="4" t="s">
        <v>65</v>
      </c>
      <c r="E95" s="4">
        <v>22</v>
      </c>
      <c r="F95" s="4">
        <v>2286</v>
      </c>
      <c r="G95" s="4">
        <v>500</v>
      </c>
      <c r="H95" s="5">
        <v>0.252</v>
      </c>
      <c r="I95" s="4">
        <v>56</v>
      </c>
      <c r="J95" s="4">
        <v>2</v>
      </c>
      <c r="K95" s="4">
        <v>5</v>
      </c>
      <c r="L95" s="4">
        <v>0</v>
      </c>
      <c r="M95" s="6"/>
      <c r="N95" s="10">
        <f t="shared" si="6"/>
        <v>1</v>
      </c>
      <c r="O95" s="10">
        <f t="shared" si="7"/>
        <v>0</v>
      </c>
      <c r="P95" s="10">
        <f t="shared" si="8"/>
        <v>1</v>
      </c>
      <c r="Q95" s="10">
        <f t="shared" si="8"/>
        <v>0.5</v>
      </c>
      <c r="R95" s="10">
        <f t="shared" si="9"/>
        <v>0</v>
      </c>
      <c r="S95" s="10">
        <f t="shared" si="10"/>
        <v>2.5</v>
      </c>
      <c r="T95" s="10" t="str">
        <f t="shared" si="11"/>
        <v>★★½</v>
      </c>
    </row>
    <row r="96" spans="1:20" s="4" customFormat="1" ht="20" thickBot="1" x14ac:dyDescent="0.3">
      <c r="A96" s="4" t="s">
        <v>217</v>
      </c>
      <c r="B96" s="4" t="s">
        <v>67</v>
      </c>
      <c r="C96" s="4" t="s">
        <v>116</v>
      </c>
      <c r="D96" s="4" t="s">
        <v>43</v>
      </c>
      <c r="E96" s="4">
        <v>29</v>
      </c>
      <c r="F96" s="4">
        <v>936</v>
      </c>
      <c r="G96" s="4">
        <v>150</v>
      </c>
      <c r="H96" s="5">
        <v>0.21299999999999999</v>
      </c>
      <c r="I96" s="4">
        <v>13</v>
      </c>
      <c r="J96" s="4">
        <v>5</v>
      </c>
      <c r="K96" s="4">
        <v>1</v>
      </c>
      <c r="L96" s="4">
        <v>0</v>
      </c>
      <c r="M96" s="6"/>
      <c r="N96" s="10">
        <f t="shared" si="6"/>
        <v>0</v>
      </c>
      <c r="O96" s="10">
        <f t="shared" si="7"/>
        <v>0</v>
      </c>
      <c r="P96" s="10">
        <f t="shared" si="8"/>
        <v>0</v>
      </c>
      <c r="Q96" s="10">
        <f t="shared" si="8"/>
        <v>1</v>
      </c>
      <c r="R96" s="10">
        <f t="shared" si="9"/>
        <v>1</v>
      </c>
      <c r="S96" s="10">
        <f t="shared" si="10"/>
        <v>2</v>
      </c>
      <c r="T96" s="10" t="str">
        <f t="shared" si="11"/>
        <v>★★</v>
      </c>
    </row>
    <row r="97" spans="1:20" s="4" customFormat="1" ht="20" thickBot="1" x14ac:dyDescent="0.3">
      <c r="A97" s="4" t="s">
        <v>218</v>
      </c>
      <c r="B97" s="4" t="s">
        <v>219</v>
      </c>
      <c r="C97" s="4" t="s">
        <v>116</v>
      </c>
      <c r="D97" s="4" t="s">
        <v>24</v>
      </c>
      <c r="E97" s="4">
        <v>25</v>
      </c>
      <c r="F97" s="4">
        <v>405</v>
      </c>
      <c r="G97" s="4">
        <v>65</v>
      </c>
      <c r="H97" s="5">
        <v>0.33800000000000002</v>
      </c>
      <c r="I97" s="4">
        <v>5</v>
      </c>
      <c r="J97" s="4">
        <v>0</v>
      </c>
      <c r="K97" s="4">
        <v>3</v>
      </c>
      <c r="L97" s="4">
        <v>0</v>
      </c>
      <c r="M97" s="6"/>
      <c r="N97" s="10">
        <f t="shared" si="6"/>
        <v>0</v>
      </c>
      <c r="O97" s="10">
        <f t="shared" si="7"/>
        <v>0</v>
      </c>
      <c r="P97" s="10">
        <f t="shared" si="8"/>
        <v>0</v>
      </c>
      <c r="Q97" s="10">
        <f t="shared" si="8"/>
        <v>0.5</v>
      </c>
      <c r="R97" s="10">
        <f t="shared" si="9"/>
        <v>0</v>
      </c>
      <c r="S97" s="10">
        <f t="shared" si="10"/>
        <v>0.5</v>
      </c>
      <c r="T97" s="10" t="str">
        <f t="shared" si="11"/>
        <v>☆½</v>
      </c>
    </row>
    <row r="98" spans="1:20" s="4" customFormat="1" ht="20" thickBot="1" x14ac:dyDescent="0.3">
      <c r="A98" s="4" t="s">
        <v>220</v>
      </c>
      <c r="B98" s="4" t="s">
        <v>165</v>
      </c>
      <c r="C98" s="4" t="s">
        <v>109</v>
      </c>
      <c r="D98" s="4" t="s">
        <v>87</v>
      </c>
      <c r="E98" s="4">
        <v>33</v>
      </c>
      <c r="F98" s="4">
        <v>1350</v>
      </c>
      <c r="G98" s="4">
        <v>123</v>
      </c>
      <c r="H98" s="5">
        <v>0.39800000000000002</v>
      </c>
      <c r="I98" s="4">
        <v>22</v>
      </c>
      <c r="J98" s="4">
        <v>2</v>
      </c>
      <c r="K98" s="4">
        <v>3</v>
      </c>
      <c r="L98" s="4">
        <v>0</v>
      </c>
      <c r="M98" s="6"/>
      <c r="N98" s="10">
        <f t="shared" si="6"/>
        <v>0</v>
      </c>
      <c r="O98" s="10">
        <f t="shared" si="7"/>
        <v>0</v>
      </c>
      <c r="P98" s="10">
        <f t="shared" si="8"/>
        <v>0</v>
      </c>
      <c r="Q98" s="10">
        <f t="shared" si="8"/>
        <v>0.5</v>
      </c>
      <c r="R98" s="10">
        <f t="shared" si="9"/>
        <v>0</v>
      </c>
      <c r="S98" s="10">
        <f t="shared" si="10"/>
        <v>0.5</v>
      </c>
      <c r="T98" s="10" t="str">
        <f t="shared" si="11"/>
        <v>☆½</v>
      </c>
    </row>
    <row r="99" spans="1:20" s="4" customFormat="1" ht="20" thickBot="1" x14ac:dyDescent="0.3">
      <c r="A99" s="4" t="s">
        <v>221</v>
      </c>
      <c r="B99" s="4" t="s">
        <v>14</v>
      </c>
      <c r="C99" s="4" t="s">
        <v>116</v>
      </c>
      <c r="D99" s="4" t="s">
        <v>15</v>
      </c>
      <c r="E99" s="4">
        <v>27</v>
      </c>
      <c r="F99" s="4">
        <v>2313</v>
      </c>
      <c r="G99" s="4">
        <v>413</v>
      </c>
      <c r="H99" s="5">
        <v>0.317</v>
      </c>
      <c r="I99" s="4">
        <v>51</v>
      </c>
      <c r="J99" s="4">
        <v>6</v>
      </c>
      <c r="K99" s="4">
        <v>7</v>
      </c>
      <c r="L99" s="4">
        <v>0</v>
      </c>
      <c r="M99" s="6"/>
      <c r="N99" s="10">
        <f t="shared" si="6"/>
        <v>1</v>
      </c>
      <c r="O99" s="10">
        <f t="shared" si="7"/>
        <v>1</v>
      </c>
      <c r="P99" s="10">
        <f t="shared" si="8"/>
        <v>1</v>
      </c>
      <c r="Q99" s="10">
        <f t="shared" si="8"/>
        <v>1</v>
      </c>
      <c r="R99" s="10">
        <f t="shared" si="9"/>
        <v>0</v>
      </c>
      <c r="S99" s="10">
        <f t="shared" si="10"/>
        <v>4</v>
      </c>
      <c r="T99" s="10" t="str">
        <f t="shared" si="11"/>
        <v>★★★★</v>
      </c>
    </row>
    <row r="100" spans="1:20" s="4" customFormat="1" ht="20" thickBot="1" x14ac:dyDescent="0.3">
      <c r="A100" s="4" t="s">
        <v>222</v>
      </c>
      <c r="B100" s="4" t="s">
        <v>20</v>
      </c>
      <c r="C100" s="4" t="s">
        <v>109</v>
      </c>
      <c r="D100" s="4" t="s">
        <v>24</v>
      </c>
      <c r="E100" s="4">
        <v>30</v>
      </c>
      <c r="F100" s="4">
        <v>2142</v>
      </c>
      <c r="G100" s="4">
        <v>227</v>
      </c>
      <c r="H100" s="7">
        <v>0.33</v>
      </c>
      <c r="I100" s="4">
        <v>39</v>
      </c>
      <c r="J100" s="4">
        <v>5</v>
      </c>
      <c r="K100" s="4">
        <v>2</v>
      </c>
      <c r="L100" s="4">
        <v>0</v>
      </c>
      <c r="M100" s="6"/>
      <c r="N100" s="10">
        <f t="shared" si="6"/>
        <v>1</v>
      </c>
      <c r="O100" s="10">
        <f t="shared" si="7"/>
        <v>1</v>
      </c>
      <c r="P100" s="10">
        <f t="shared" si="8"/>
        <v>1</v>
      </c>
      <c r="Q100" s="10">
        <f t="shared" si="8"/>
        <v>1</v>
      </c>
      <c r="R100" s="10">
        <f t="shared" si="9"/>
        <v>1</v>
      </c>
      <c r="S100" s="10">
        <f t="shared" si="10"/>
        <v>5</v>
      </c>
      <c r="T100" s="10" t="str">
        <f t="shared" si="11"/>
        <v>★★★★★</v>
      </c>
    </row>
    <row r="101" spans="1:20" s="4" customFormat="1" ht="20" thickBot="1" x14ac:dyDescent="0.3">
      <c r="A101" s="4" t="s">
        <v>223</v>
      </c>
      <c r="B101" s="4" t="s">
        <v>55</v>
      </c>
      <c r="C101" s="4" t="s">
        <v>116</v>
      </c>
      <c r="D101" s="4" t="s">
        <v>85</v>
      </c>
      <c r="E101" s="4">
        <v>16</v>
      </c>
      <c r="F101" s="4">
        <v>27</v>
      </c>
      <c r="G101" s="4">
        <v>1</v>
      </c>
      <c r="H101" s="7">
        <v>0</v>
      </c>
      <c r="I101" s="4">
        <v>0</v>
      </c>
      <c r="J101" s="4">
        <v>0</v>
      </c>
      <c r="K101" s="4">
        <v>0</v>
      </c>
      <c r="L101" s="4">
        <v>0</v>
      </c>
      <c r="M101" s="6"/>
      <c r="N101" s="10">
        <f t="shared" si="6"/>
        <v>0</v>
      </c>
      <c r="O101" s="10">
        <f t="shared" si="7"/>
        <v>0</v>
      </c>
      <c r="P101" s="10">
        <f t="shared" si="8"/>
        <v>0</v>
      </c>
      <c r="Q101" s="10">
        <f t="shared" si="8"/>
        <v>0.5</v>
      </c>
      <c r="R101" s="10">
        <f t="shared" si="9"/>
        <v>1</v>
      </c>
      <c r="S101" s="10">
        <f t="shared" si="10"/>
        <v>1.5</v>
      </c>
      <c r="T101" s="10" t="str">
        <f t="shared" si="11"/>
        <v>★½</v>
      </c>
    </row>
    <row r="102" spans="1:20" s="4" customFormat="1" ht="20" thickBot="1" x14ac:dyDescent="0.3">
      <c r="A102" s="4" t="s">
        <v>224</v>
      </c>
      <c r="B102" s="4" t="s">
        <v>29</v>
      </c>
      <c r="C102" s="4" t="s">
        <v>109</v>
      </c>
      <c r="D102" s="4" t="s">
        <v>30</v>
      </c>
      <c r="E102" s="4">
        <v>20</v>
      </c>
      <c r="F102" s="4">
        <v>9</v>
      </c>
      <c r="G102" s="4">
        <v>1</v>
      </c>
      <c r="H102" s="7">
        <v>0</v>
      </c>
      <c r="I102" s="4">
        <v>0</v>
      </c>
      <c r="J102" s="4">
        <v>0</v>
      </c>
      <c r="K102" s="4">
        <v>0</v>
      </c>
      <c r="L102" s="4">
        <v>0</v>
      </c>
      <c r="M102" s="6"/>
      <c r="N102" s="10">
        <f t="shared" si="6"/>
        <v>0</v>
      </c>
      <c r="O102" s="10">
        <f t="shared" si="7"/>
        <v>0</v>
      </c>
      <c r="P102" s="10">
        <f t="shared" si="8"/>
        <v>0</v>
      </c>
      <c r="Q102" s="10">
        <f t="shared" si="8"/>
        <v>0.5</v>
      </c>
      <c r="R102" s="10">
        <f t="shared" si="9"/>
        <v>1</v>
      </c>
      <c r="S102" s="10">
        <f t="shared" si="10"/>
        <v>1.5</v>
      </c>
      <c r="T102" s="10" t="str">
        <f t="shared" si="11"/>
        <v>★½</v>
      </c>
    </row>
    <row r="103" spans="1:20" s="4" customFormat="1" ht="20" thickBot="1" x14ac:dyDescent="0.3">
      <c r="A103" s="4" t="s">
        <v>225</v>
      </c>
      <c r="B103" s="4" t="s">
        <v>83</v>
      </c>
      <c r="C103" s="4" t="s">
        <v>116</v>
      </c>
      <c r="D103" s="4" t="s">
        <v>47</v>
      </c>
      <c r="E103" s="4">
        <v>26</v>
      </c>
      <c r="F103" s="4">
        <v>3114</v>
      </c>
      <c r="G103" s="4">
        <v>610</v>
      </c>
      <c r="H103" s="5">
        <v>0.28199999999999997</v>
      </c>
      <c r="I103" s="4">
        <v>29</v>
      </c>
      <c r="J103" s="4">
        <v>16</v>
      </c>
      <c r="K103" s="4">
        <v>10</v>
      </c>
      <c r="L103" s="4">
        <v>0</v>
      </c>
      <c r="M103" s="6"/>
      <c r="N103" s="10">
        <f t="shared" si="6"/>
        <v>1</v>
      </c>
      <c r="O103" s="10">
        <f t="shared" si="7"/>
        <v>0</v>
      </c>
      <c r="P103" s="10">
        <f t="shared" si="8"/>
        <v>1</v>
      </c>
      <c r="Q103" s="10">
        <f t="shared" si="8"/>
        <v>1</v>
      </c>
      <c r="R103" s="10">
        <f t="shared" si="9"/>
        <v>0</v>
      </c>
      <c r="S103" s="10">
        <f t="shared" si="10"/>
        <v>3</v>
      </c>
      <c r="T103" s="10" t="str">
        <f t="shared" si="11"/>
        <v>★★★</v>
      </c>
    </row>
    <row r="104" spans="1:20" s="4" customFormat="1" ht="20" thickBot="1" x14ac:dyDescent="0.3">
      <c r="A104" s="4" t="s">
        <v>226</v>
      </c>
      <c r="B104" s="4" t="s">
        <v>32</v>
      </c>
      <c r="C104" s="4" t="s">
        <v>109</v>
      </c>
      <c r="D104" s="4" t="s">
        <v>35</v>
      </c>
      <c r="E104" s="4">
        <v>32</v>
      </c>
      <c r="F104" s="4">
        <v>522</v>
      </c>
      <c r="G104" s="4">
        <v>33</v>
      </c>
      <c r="H104" s="5">
        <v>0.121</v>
      </c>
      <c r="I104" s="4">
        <v>11</v>
      </c>
      <c r="J104" s="4">
        <v>0</v>
      </c>
      <c r="K104" s="4">
        <v>0</v>
      </c>
      <c r="L104" s="4">
        <v>0</v>
      </c>
      <c r="M104" s="6"/>
      <c r="N104" s="10">
        <f t="shared" si="6"/>
        <v>0</v>
      </c>
      <c r="O104" s="10">
        <f t="shared" si="7"/>
        <v>0</v>
      </c>
      <c r="P104" s="10">
        <f t="shared" si="8"/>
        <v>0</v>
      </c>
      <c r="Q104" s="10">
        <f t="shared" si="8"/>
        <v>0.5</v>
      </c>
      <c r="R104" s="10">
        <f t="shared" si="9"/>
        <v>1</v>
      </c>
      <c r="S104" s="10">
        <f t="shared" si="10"/>
        <v>1.5</v>
      </c>
      <c r="T104" s="10" t="str">
        <f t="shared" si="11"/>
        <v>★½</v>
      </c>
    </row>
    <row r="105" spans="1:20" s="4" customFormat="1" ht="20" thickBot="1" x14ac:dyDescent="0.3">
      <c r="A105" s="4" t="s">
        <v>227</v>
      </c>
      <c r="B105" s="4" t="s">
        <v>14</v>
      </c>
      <c r="C105" s="4" t="s">
        <v>228</v>
      </c>
      <c r="D105" s="4" t="s">
        <v>39</v>
      </c>
      <c r="E105" s="4">
        <v>36</v>
      </c>
      <c r="F105" s="4">
        <v>962.99999999999989</v>
      </c>
      <c r="G105" s="4">
        <v>130</v>
      </c>
      <c r="H105" s="5">
        <v>0.34599999999999997</v>
      </c>
      <c r="I105" s="4">
        <v>6</v>
      </c>
      <c r="J105" s="4">
        <v>3</v>
      </c>
      <c r="K105" s="4">
        <v>1</v>
      </c>
      <c r="L105" s="4">
        <v>0</v>
      </c>
      <c r="M105" s="6"/>
      <c r="N105" s="10">
        <f t="shared" si="6"/>
        <v>0</v>
      </c>
      <c r="O105" s="10">
        <f t="shared" si="7"/>
        <v>0</v>
      </c>
      <c r="P105" s="10">
        <f t="shared" si="8"/>
        <v>0</v>
      </c>
      <c r="Q105" s="10">
        <f t="shared" si="8"/>
        <v>1</v>
      </c>
      <c r="R105" s="10">
        <f t="shared" si="9"/>
        <v>1</v>
      </c>
      <c r="S105" s="10">
        <f t="shared" si="10"/>
        <v>2</v>
      </c>
      <c r="T105" s="10" t="str">
        <f t="shared" si="11"/>
        <v>★★</v>
      </c>
    </row>
    <row r="106" spans="1:20" s="4" customFormat="1" ht="20" thickBot="1" x14ac:dyDescent="0.3">
      <c r="A106" s="4" t="s">
        <v>229</v>
      </c>
      <c r="B106" s="4" t="s">
        <v>20</v>
      </c>
      <c r="C106" s="4" t="s">
        <v>109</v>
      </c>
      <c r="D106" s="4" t="s">
        <v>58</v>
      </c>
      <c r="E106" s="4">
        <v>24</v>
      </c>
      <c r="F106" s="4">
        <v>1710</v>
      </c>
      <c r="G106" s="4">
        <v>356</v>
      </c>
      <c r="H106" s="5">
        <v>0.28899999999999998</v>
      </c>
      <c r="I106" s="4">
        <v>37</v>
      </c>
      <c r="J106" s="4">
        <v>2</v>
      </c>
      <c r="K106" s="4">
        <v>11</v>
      </c>
      <c r="L106" s="4">
        <v>0</v>
      </c>
      <c r="M106" s="6"/>
      <c r="N106" s="10">
        <f t="shared" si="6"/>
        <v>1</v>
      </c>
      <c r="O106" s="10">
        <f t="shared" si="7"/>
        <v>0</v>
      </c>
      <c r="P106" s="10">
        <f t="shared" si="8"/>
        <v>1</v>
      </c>
      <c r="Q106" s="10">
        <f t="shared" si="8"/>
        <v>0.5</v>
      </c>
      <c r="R106" s="10">
        <f t="shared" si="9"/>
        <v>0</v>
      </c>
      <c r="S106" s="10">
        <f t="shared" si="10"/>
        <v>2.5</v>
      </c>
      <c r="T106" s="10" t="str">
        <f t="shared" si="11"/>
        <v>★★½</v>
      </c>
    </row>
    <row r="107" spans="1:20" s="4" customFormat="1" ht="20" thickBot="1" x14ac:dyDescent="0.3">
      <c r="A107" s="4" t="s">
        <v>230</v>
      </c>
      <c r="B107" s="4" t="s">
        <v>17</v>
      </c>
      <c r="C107" s="4" t="s">
        <v>109</v>
      </c>
      <c r="D107" s="4" t="s">
        <v>87</v>
      </c>
      <c r="E107" s="4">
        <v>20</v>
      </c>
      <c r="F107" s="4">
        <v>630</v>
      </c>
      <c r="G107" s="4">
        <v>56</v>
      </c>
      <c r="H107" s="5">
        <v>0.39300000000000002</v>
      </c>
      <c r="I107" s="4">
        <v>6</v>
      </c>
      <c r="J107" s="4">
        <v>0</v>
      </c>
      <c r="K107" s="4">
        <v>2</v>
      </c>
      <c r="L107" s="4">
        <v>0</v>
      </c>
      <c r="M107" s="6"/>
      <c r="N107" s="10">
        <f t="shared" si="6"/>
        <v>0</v>
      </c>
      <c r="O107" s="10">
        <f t="shared" si="7"/>
        <v>0</v>
      </c>
      <c r="P107" s="10">
        <f t="shared" si="8"/>
        <v>0</v>
      </c>
      <c r="Q107" s="10">
        <f t="shared" si="8"/>
        <v>0.5</v>
      </c>
      <c r="R107" s="10">
        <f t="shared" si="9"/>
        <v>1</v>
      </c>
      <c r="S107" s="10">
        <f t="shared" si="10"/>
        <v>1.5</v>
      </c>
      <c r="T107" s="10" t="str">
        <f t="shared" si="11"/>
        <v>★½</v>
      </c>
    </row>
    <row r="108" spans="1:20" s="4" customFormat="1" ht="20" thickBot="1" x14ac:dyDescent="0.3">
      <c r="A108" s="4" t="s">
        <v>231</v>
      </c>
      <c r="B108" s="4" t="s">
        <v>29</v>
      </c>
      <c r="C108" s="4" t="s">
        <v>116</v>
      </c>
      <c r="D108" s="4" t="s">
        <v>58</v>
      </c>
      <c r="E108" s="4">
        <v>29</v>
      </c>
      <c r="F108" s="4">
        <v>1530</v>
      </c>
      <c r="G108" s="4">
        <v>408</v>
      </c>
      <c r="H108" s="5">
        <v>0.30399999999999999</v>
      </c>
      <c r="I108" s="4">
        <v>19</v>
      </c>
      <c r="J108" s="4">
        <v>1</v>
      </c>
      <c r="K108" s="4">
        <v>5</v>
      </c>
      <c r="L108" s="4">
        <v>0</v>
      </c>
      <c r="M108" s="6"/>
      <c r="N108" s="10">
        <f t="shared" si="6"/>
        <v>1</v>
      </c>
      <c r="O108" s="10">
        <f t="shared" si="7"/>
        <v>0</v>
      </c>
      <c r="P108" s="10">
        <f t="shared" si="8"/>
        <v>0</v>
      </c>
      <c r="Q108" s="10">
        <f t="shared" si="8"/>
        <v>0.5</v>
      </c>
      <c r="R108" s="10">
        <f t="shared" si="9"/>
        <v>0</v>
      </c>
      <c r="S108" s="10">
        <f t="shared" si="10"/>
        <v>1.5</v>
      </c>
      <c r="T108" s="10" t="str">
        <f t="shared" si="11"/>
        <v>★½</v>
      </c>
    </row>
    <row r="109" spans="1:20" s="4" customFormat="1" ht="20" thickBot="1" x14ac:dyDescent="0.3">
      <c r="A109" s="4" t="s">
        <v>232</v>
      </c>
      <c r="B109" s="4" t="s">
        <v>124</v>
      </c>
      <c r="C109" s="4" t="s">
        <v>109</v>
      </c>
      <c r="D109" s="4" t="s">
        <v>43</v>
      </c>
      <c r="E109" s="4">
        <v>25</v>
      </c>
      <c r="F109" s="4">
        <v>18</v>
      </c>
      <c r="G109" s="4">
        <v>5</v>
      </c>
      <c r="H109" s="7">
        <v>0</v>
      </c>
      <c r="I109" s="4">
        <v>1</v>
      </c>
      <c r="J109" s="4">
        <v>0</v>
      </c>
      <c r="K109" s="4">
        <v>0</v>
      </c>
      <c r="L109" s="4">
        <v>0</v>
      </c>
      <c r="M109" s="6"/>
      <c r="N109" s="10">
        <f t="shared" si="6"/>
        <v>0</v>
      </c>
      <c r="O109" s="10">
        <f t="shared" si="7"/>
        <v>0</v>
      </c>
      <c r="P109" s="10">
        <f t="shared" si="8"/>
        <v>0</v>
      </c>
      <c r="Q109" s="10">
        <f t="shared" si="8"/>
        <v>0.5</v>
      </c>
      <c r="R109" s="10">
        <f t="shared" si="9"/>
        <v>1</v>
      </c>
      <c r="S109" s="10">
        <f t="shared" si="10"/>
        <v>1.5</v>
      </c>
      <c r="T109" s="10" t="str">
        <f t="shared" si="11"/>
        <v>★½</v>
      </c>
    </row>
    <row r="110" spans="1:20" s="4" customFormat="1" ht="20" thickBot="1" x14ac:dyDescent="0.3">
      <c r="A110" s="4" t="s">
        <v>233</v>
      </c>
      <c r="B110" s="4" t="s">
        <v>14</v>
      </c>
      <c r="C110" s="4" t="s">
        <v>116</v>
      </c>
      <c r="D110" s="4" t="s">
        <v>47</v>
      </c>
      <c r="E110" s="4">
        <v>28</v>
      </c>
      <c r="F110" s="4">
        <v>2025</v>
      </c>
      <c r="G110" s="4">
        <v>554</v>
      </c>
      <c r="H110" s="5">
        <v>0.255</v>
      </c>
      <c r="I110" s="4">
        <v>47</v>
      </c>
      <c r="J110" s="4">
        <v>8</v>
      </c>
      <c r="K110" s="4">
        <v>5</v>
      </c>
      <c r="L110" s="4">
        <v>0</v>
      </c>
      <c r="M110" s="6"/>
      <c r="N110" s="10">
        <f t="shared" si="6"/>
        <v>1</v>
      </c>
      <c r="O110" s="10">
        <f t="shared" si="7"/>
        <v>0</v>
      </c>
      <c r="P110" s="10">
        <f t="shared" si="8"/>
        <v>1</v>
      </c>
      <c r="Q110" s="10">
        <f t="shared" si="8"/>
        <v>1</v>
      </c>
      <c r="R110" s="10">
        <f t="shared" si="9"/>
        <v>0</v>
      </c>
      <c r="S110" s="10">
        <f t="shared" si="10"/>
        <v>3</v>
      </c>
      <c r="T110" s="10" t="str">
        <f t="shared" si="11"/>
        <v>★★★</v>
      </c>
    </row>
    <row r="111" spans="1:20" s="4" customFormat="1" ht="20" thickBot="1" x14ac:dyDescent="0.3">
      <c r="A111" s="4" t="s">
        <v>234</v>
      </c>
      <c r="B111" s="4" t="s">
        <v>29</v>
      </c>
      <c r="C111" s="4" t="s">
        <v>109</v>
      </c>
      <c r="D111" s="4" t="s">
        <v>18</v>
      </c>
      <c r="E111" s="4">
        <v>28</v>
      </c>
      <c r="F111" s="4">
        <v>306</v>
      </c>
      <c r="G111" s="4">
        <v>24</v>
      </c>
      <c r="H111" s="5">
        <v>0.20799999999999999</v>
      </c>
      <c r="I111" s="4">
        <v>4</v>
      </c>
      <c r="J111" s="4">
        <v>0</v>
      </c>
      <c r="K111" s="4">
        <v>1</v>
      </c>
      <c r="L111" s="4">
        <v>0</v>
      </c>
      <c r="M111" s="6"/>
      <c r="N111" s="10">
        <f t="shared" si="6"/>
        <v>0</v>
      </c>
      <c r="O111" s="10">
        <f t="shared" si="7"/>
        <v>0</v>
      </c>
      <c r="P111" s="10">
        <f t="shared" si="8"/>
        <v>0</v>
      </c>
      <c r="Q111" s="10">
        <f t="shared" si="8"/>
        <v>0.5</v>
      </c>
      <c r="R111" s="10">
        <f t="shared" si="9"/>
        <v>1</v>
      </c>
      <c r="S111" s="10">
        <f t="shared" si="10"/>
        <v>1.5</v>
      </c>
      <c r="T111" s="10" t="str">
        <f t="shared" si="11"/>
        <v>★½</v>
      </c>
    </row>
    <row r="112" spans="1:20" s="4" customFormat="1" ht="20" thickBot="1" x14ac:dyDescent="0.3">
      <c r="A112" s="4" t="s">
        <v>235</v>
      </c>
      <c r="B112" s="4" t="s">
        <v>57</v>
      </c>
      <c r="C112" s="4" t="s">
        <v>109</v>
      </c>
      <c r="D112" s="4" t="s">
        <v>58</v>
      </c>
      <c r="E112" s="4">
        <v>17</v>
      </c>
      <c r="F112" s="4">
        <v>153</v>
      </c>
      <c r="G112" s="4">
        <v>30</v>
      </c>
      <c r="H112" s="5">
        <v>0.36699999999999999</v>
      </c>
      <c r="I112" s="4">
        <v>3</v>
      </c>
      <c r="J112" s="4">
        <v>0</v>
      </c>
      <c r="K112" s="4">
        <v>0</v>
      </c>
      <c r="L112" s="4">
        <v>0</v>
      </c>
      <c r="M112" s="6"/>
      <c r="N112" s="10">
        <f t="shared" si="6"/>
        <v>0</v>
      </c>
      <c r="O112" s="10">
        <f t="shared" si="7"/>
        <v>0</v>
      </c>
      <c r="P112" s="10">
        <f t="shared" si="8"/>
        <v>0</v>
      </c>
      <c r="Q112" s="10">
        <f t="shared" si="8"/>
        <v>0.5</v>
      </c>
      <c r="R112" s="10">
        <f t="shared" si="9"/>
        <v>1</v>
      </c>
      <c r="S112" s="10">
        <f t="shared" si="10"/>
        <v>1.5</v>
      </c>
      <c r="T112" s="10" t="str">
        <f t="shared" si="11"/>
        <v>★½</v>
      </c>
    </row>
    <row r="113" spans="1:20" s="4" customFormat="1" ht="20" thickBot="1" x14ac:dyDescent="0.3">
      <c r="A113" s="4" t="s">
        <v>236</v>
      </c>
      <c r="B113" s="4" t="s">
        <v>29</v>
      </c>
      <c r="C113" s="4" t="s">
        <v>116</v>
      </c>
      <c r="D113" s="4" t="s">
        <v>30</v>
      </c>
      <c r="E113" s="4">
        <v>21</v>
      </c>
      <c r="F113" s="4">
        <v>2844</v>
      </c>
      <c r="G113" s="4">
        <v>783</v>
      </c>
      <c r="H113" s="5">
        <v>0.28399999999999997</v>
      </c>
      <c r="I113" s="4">
        <v>56</v>
      </c>
      <c r="J113" s="4">
        <v>11</v>
      </c>
      <c r="K113" s="4">
        <v>10</v>
      </c>
      <c r="L113" s="4">
        <v>0</v>
      </c>
      <c r="M113" s="6"/>
      <c r="N113" s="10">
        <f t="shared" si="6"/>
        <v>1</v>
      </c>
      <c r="O113" s="10">
        <f t="shared" si="7"/>
        <v>0</v>
      </c>
      <c r="P113" s="10">
        <f t="shared" si="8"/>
        <v>1</v>
      </c>
      <c r="Q113" s="10">
        <f t="shared" si="8"/>
        <v>1</v>
      </c>
      <c r="R113" s="10">
        <f t="shared" si="9"/>
        <v>0</v>
      </c>
      <c r="S113" s="10">
        <f t="shared" si="10"/>
        <v>3</v>
      </c>
      <c r="T113" s="10" t="str">
        <f t="shared" si="11"/>
        <v>★★★</v>
      </c>
    </row>
    <row r="114" spans="1:20" s="4" customFormat="1" ht="20" thickBot="1" x14ac:dyDescent="0.3">
      <c r="A114" s="4" t="s">
        <v>237</v>
      </c>
      <c r="B114" s="4" t="s">
        <v>133</v>
      </c>
      <c r="C114" s="4" t="s">
        <v>116</v>
      </c>
      <c r="D114" s="4" t="s">
        <v>27</v>
      </c>
      <c r="E114" s="4">
        <v>25</v>
      </c>
      <c r="F114" s="4">
        <v>62.999999999999993</v>
      </c>
      <c r="G114" s="4">
        <v>14</v>
      </c>
      <c r="H114" s="7">
        <v>0.5</v>
      </c>
      <c r="I114" s="4">
        <v>0</v>
      </c>
      <c r="J114" s="4">
        <v>0</v>
      </c>
      <c r="K114" s="4">
        <v>0</v>
      </c>
      <c r="L114" s="4">
        <v>0</v>
      </c>
      <c r="M114" s="6"/>
      <c r="N114" s="10">
        <f t="shared" si="6"/>
        <v>0</v>
      </c>
      <c r="O114" s="10">
        <f t="shared" si="7"/>
        <v>0</v>
      </c>
      <c r="P114" s="10">
        <f t="shared" si="8"/>
        <v>0</v>
      </c>
      <c r="Q114" s="10">
        <f t="shared" si="8"/>
        <v>0.5</v>
      </c>
      <c r="R114" s="10">
        <f t="shared" si="9"/>
        <v>1</v>
      </c>
      <c r="S114" s="10">
        <f t="shared" si="10"/>
        <v>1.5</v>
      </c>
      <c r="T114" s="10" t="str">
        <f t="shared" si="11"/>
        <v>★½</v>
      </c>
    </row>
    <row r="115" spans="1:20" s="4" customFormat="1" ht="20" thickBot="1" x14ac:dyDescent="0.3">
      <c r="A115" s="4" t="s">
        <v>238</v>
      </c>
      <c r="B115" s="4" t="s">
        <v>239</v>
      </c>
      <c r="C115" s="4" t="s">
        <v>171</v>
      </c>
      <c r="D115" s="4" t="s">
        <v>43</v>
      </c>
      <c r="E115" s="4">
        <v>27</v>
      </c>
      <c r="F115" s="4">
        <v>540</v>
      </c>
      <c r="G115" s="4">
        <v>117</v>
      </c>
      <c r="H115" s="5">
        <v>0.222</v>
      </c>
      <c r="I115" s="4">
        <v>13</v>
      </c>
      <c r="J115" s="4">
        <v>2</v>
      </c>
      <c r="K115" s="4">
        <v>2</v>
      </c>
      <c r="L115" s="4">
        <v>0</v>
      </c>
      <c r="M115" s="6"/>
      <c r="N115" s="10">
        <f t="shared" si="6"/>
        <v>0</v>
      </c>
      <c r="O115" s="10">
        <f t="shared" si="7"/>
        <v>0</v>
      </c>
      <c r="P115" s="10">
        <f t="shared" si="8"/>
        <v>0</v>
      </c>
      <c r="Q115" s="10">
        <f t="shared" si="8"/>
        <v>0.5</v>
      </c>
      <c r="R115" s="10">
        <f t="shared" si="9"/>
        <v>1</v>
      </c>
      <c r="S115" s="10">
        <f t="shared" si="10"/>
        <v>1.5</v>
      </c>
      <c r="T115" s="10" t="str">
        <f t="shared" si="11"/>
        <v>★½</v>
      </c>
    </row>
    <row r="116" spans="1:20" s="4" customFormat="1" ht="20" thickBot="1" x14ac:dyDescent="0.3">
      <c r="A116" s="4" t="s">
        <v>240</v>
      </c>
      <c r="B116" s="4" t="s">
        <v>241</v>
      </c>
      <c r="C116" s="4" t="s">
        <v>109</v>
      </c>
      <c r="D116" s="4" t="s">
        <v>50</v>
      </c>
      <c r="E116" s="4">
        <v>25</v>
      </c>
      <c r="F116" s="4">
        <v>1170</v>
      </c>
      <c r="G116" s="4">
        <v>204</v>
      </c>
      <c r="H116" s="5">
        <v>0.26500000000000001</v>
      </c>
      <c r="I116" s="4">
        <v>38</v>
      </c>
      <c r="J116" s="4">
        <v>1</v>
      </c>
      <c r="K116" s="4">
        <v>2</v>
      </c>
      <c r="L116" s="4">
        <v>0</v>
      </c>
      <c r="M116" s="6"/>
      <c r="N116" s="10">
        <f t="shared" si="6"/>
        <v>0</v>
      </c>
      <c r="O116" s="10">
        <f t="shared" si="7"/>
        <v>0</v>
      </c>
      <c r="P116" s="10">
        <f t="shared" si="8"/>
        <v>1</v>
      </c>
      <c r="Q116" s="10">
        <f t="shared" si="8"/>
        <v>0.5</v>
      </c>
      <c r="R116" s="10">
        <f t="shared" si="9"/>
        <v>1</v>
      </c>
      <c r="S116" s="10">
        <f t="shared" si="10"/>
        <v>2.5</v>
      </c>
      <c r="T116" s="10" t="str">
        <f t="shared" si="11"/>
        <v>★★½</v>
      </c>
    </row>
    <row r="117" spans="1:20" s="4" customFormat="1" ht="20" thickBot="1" x14ac:dyDescent="0.3">
      <c r="A117" s="4" t="s">
        <v>242</v>
      </c>
      <c r="B117" s="4" t="s">
        <v>29</v>
      </c>
      <c r="C117" s="4" t="s">
        <v>109</v>
      </c>
      <c r="D117" s="4" t="s">
        <v>50</v>
      </c>
      <c r="E117" s="4">
        <v>28</v>
      </c>
      <c r="F117" s="4">
        <v>2493</v>
      </c>
      <c r="G117" s="4">
        <v>152</v>
      </c>
      <c r="H117" s="5">
        <v>0.33600000000000002</v>
      </c>
      <c r="I117" s="4">
        <v>56</v>
      </c>
      <c r="J117" s="4">
        <v>0</v>
      </c>
      <c r="K117" s="4">
        <v>5</v>
      </c>
      <c r="L117" s="4">
        <v>1</v>
      </c>
      <c r="M117" s="6"/>
      <c r="N117" s="10">
        <f t="shared" si="6"/>
        <v>1</v>
      </c>
      <c r="O117" s="10">
        <f t="shared" si="7"/>
        <v>0</v>
      </c>
      <c r="P117" s="10">
        <f t="shared" si="8"/>
        <v>1</v>
      </c>
      <c r="Q117" s="10">
        <f t="shared" si="8"/>
        <v>0.5</v>
      </c>
      <c r="R117" s="10">
        <f t="shared" si="9"/>
        <v>0</v>
      </c>
      <c r="S117" s="10">
        <f t="shared" si="10"/>
        <v>2.5</v>
      </c>
      <c r="T117" s="10" t="str">
        <f t="shared" si="11"/>
        <v>★★½</v>
      </c>
    </row>
    <row r="118" spans="1:20" s="4" customFormat="1" ht="20" thickBot="1" x14ac:dyDescent="0.3">
      <c r="A118" s="4" t="s">
        <v>243</v>
      </c>
      <c r="B118" s="4" t="s">
        <v>127</v>
      </c>
      <c r="C118" s="4" t="s">
        <v>116</v>
      </c>
      <c r="D118" s="4" t="s">
        <v>50</v>
      </c>
      <c r="E118" s="4">
        <v>20</v>
      </c>
      <c r="F118" s="4">
        <v>1854.0000000000002</v>
      </c>
      <c r="G118" s="4">
        <v>495</v>
      </c>
      <c r="H118" s="5">
        <v>0.20399999999999999</v>
      </c>
      <c r="I118" s="4">
        <v>23</v>
      </c>
      <c r="J118" s="4">
        <v>1</v>
      </c>
      <c r="K118" s="4">
        <v>2</v>
      </c>
      <c r="L118" s="4">
        <v>0</v>
      </c>
      <c r="M118" s="6"/>
      <c r="N118" s="10">
        <f t="shared" si="6"/>
        <v>1</v>
      </c>
      <c r="O118" s="10">
        <f t="shared" si="7"/>
        <v>0</v>
      </c>
      <c r="P118" s="10">
        <f t="shared" si="8"/>
        <v>0</v>
      </c>
      <c r="Q118" s="10">
        <f t="shared" si="8"/>
        <v>0.5</v>
      </c>
      <c r="R118" s="10">
        <f t="shared" si="9"/>
        <v>1</v>
      </c>
      <c r="S118" s="10">
        <f t="shared" si="10"/>
        <v>2.5</v>
      </c>
      <c r="T118" s="10" t="str">
        <f t="shared" si="11"/>
        <v>★★½</v>
      </c>
    </row>
    <row r="119" spans="1:20" s="4" customFormat="1" ht="20" thickBot="1" x14ac:dyDescent="0.3">
      <c r="A119" s="4" t="s">
        <v>244</v>
      </c>
      <c r="B119" s="4" t="s">
        <v>29</v>
      </c>
      <c r="C119" s="4" t="s">
        <v>109</v>
      </c>
      <c r="D119" s="4" t="s">
        <v>27</v>
      </c>
      <c r="E119" s="4">
        <v>23</v>
      </c>
      <c r="F119" s="4">
        <v>2025</v>
      </c>
      <c r="G119" s="4">
        <v>266</v>
      </c>
      <c r="H119" s="5">
        <v>0.33500000000000002</v>
      </c>
      <c r="I119" s="4">
        <v>48</v>
      </c>
      <c r="J119" s="4">
        <v>0</v>
      </c>
      <c r="K119" s="4">
        <v>6</v>
      </c>
      <c r="L119" s="4">
        <v>0</v>
      </c>
      <c r="M119" s="6"/>
      <c r="N119" s="10">
        <f t="shared" si="6"/>
        <v>1</v>
      </c>
      <c r="O119" s="10">
        <f t="shared" si="7"/>
        <v>1</v>
      </c>
      <c r="P119" s="10">
        <f t="shared" si="8"/>
        <v>1</v>
      </c>
      <c r="Q119" s="10">
        <f t="shared" si="8"/>
        <v>0.5</v>
      </c>
      <c r="R119" s="10">
        <f t="shared" si="9"/>
        <v>0</v>
      </c>
      <c r="S119" s="10">
        <f t="shared" si="10"/>
        <v>3.5</v>
      </c>
      <c r="T119" s="10" t="str">
        <f t="shared" si="11"/>
        <v>★★★½</v>
      </c>
    </row>
    <row r="120" spans="1:20" s="4" customFormat="1" ht="20" thickBot="1" x14ac:dyDescent="0.3">
      <c r="A120" s="4" t="s">
        <v>245</v>
      </c>
      <c r="B120" s="4" t="s">
        <v>83</v>
      </c>
      <c r="C120" s="4" t="s">
        <v>116</v>
      </c>
      <c r="D120" s="4" t="s">
        <v>27</v>
      </c>
      <c r="E120" s="4">
        <v>28</v>
      </c>
      <c r="F120" s="4">
        <v>621</v>
      </c>
      <c r="G120" s="4">
        <v>198</v>
      </c>
      <c r="H120" s="5">
        <v>0.25800000000000001</v>
      </c>
      <c r="I120" s="4">
        <v>13</v>
      </c>
      <c r="J120" s="4">
        <v>1</v>
      </c>
      <c r="K120" s="4">
        <v>3</v>
      </c>
      <c r="L120" s="4">
        <v>0</v>
      </c>
      <c r="M120" s="6"/>
      <c r="N120" s="10">
        <f t="shared" si="6"/>
        <v>0</v>
      </c>
      <c r="O120" s="10">
        <f t="shared" si="7"/>
        <v>0</v>
      </c>
      <c r="P120" s="10">
        <f t="shared" si="8"/>
        <v>0</v>
      </c>
      <c r="Q120" s="10">
        <f t="shared" si="8"/>
        <v>0.5</v>
      </c>
      <c r="R120" s="10">
        <f t="shared" si="9"/>
        <v>0</v>
      </c>
      <c r="S120" s="10">
        <f t="shared" si="10"/>
        <v>0.5</v>
      </c>
      <c r="T120" s="10" t="str">
        <f t="shared" si="11"/>
        <v>☆½</v>
      </c>
    </row>
    <row r="121" spans="1:20" s="4" customFormat="1" ht="20" thickBot="1" x14ac:dyDescent="0.3">
      <c r="A121" s="4" t="s">
        <v>246</v>
      </c>
      <c r="B121" s="4" t="s">
        <v>83</v>
      </c>
      <c r="C121" s="4" t="s">
        <v>109</v>
      </c>
      <c r="D121" s="4" t="s">
        <v>81</v>
      </c>
      <c r="E121" s="4">
        <v>22</v>
      </c>
      <c r="F121" s="4">
        <v>360</v>
      </c>
      <c r="G121" s="4">
        <v>34</v>
      </c>
      <c r="H121" s="5">
        <v>0.441</v>
      </c>
      <c r="I121" s="4">
        <v>10</v>
      </c>
      <c r="J121" s="4">
        <v>0</v>
      </c>
      <c r="K121" s="4">
        <v>1</v>
      </c>
      <c r="L121" s="4">
        <v>0</v>
      </c>
      <c r="M121" s="6"/>
      <c r="N121" s="10">
        <f t="shared" si="6"/>
        <v>0</v>
      </c>
      <c r="O121" s="10">
        <f t="shared" si="7"/>
        <v>0</v>
      </c>
      <c r="P121" s="10">
        <f t="shared" si="8"/>
        <v>0</v>
      </c>
      <c r="Q121" s="10">
        <f t="shared" si="8"/>
        <v>0.5</v>
      </c>
      <c r="R121" s="10">
        <f t="shared" si="9"/>
        <v>1</v>
      </c>
      <c r="S121" s="10">
        <f t="shared" si="10"/>
        <v>1.5</v>
      </c>
      <c r="T121" s="10" t="str">
        <f t="shared" si="11"/>
        <v>★½</v>
      </c>
    </row>
    <row r="122" spans="1:20" s="4" customFormat="1" ht="20" thickBot="1" x14ac:dyDescent="0.3">
      <c r="A122" s="4" t="s">
        <v>247</v>
      </c>
      <c r="B122" s="4" t="s">
        <v>29</v>
      </c>
      <c r="C122" s="4" t="s">
        <v>109</v>
      </c>
      <c r="D122" s="4" t="s">
        <v>15</v>
      </c>
      <c r="E122" s="4">
        <v>24</v>
      </c>
      <c r="F122" s="4">
        <v>333</v>
      </c>
      <c r="G122" s="4">
        <v>42</v>
      </c>
      <c r="H122" s="5">
        <v>0.38100000000000001</v>
      </c>
      <c r="I122" s="4">
        <v>3</v>
      </c>
      <c r="J122" s="4">
        <v>1</v>
      </c>
      <c r="K122" s="4">
        <v>2</v>
      </c>
      <c r="L122" s="4">
        <v>0</v>
      </c>
      <c r="M122" s="6"/>
      <c r="N122" s="10">
        <f t="shared" si="6"/>
        <v>0</v>
      </c>
      <c r="O122" s="10">
        <f t="shared" si="7"/>
        <v>0</v>
      </c>
      <c r="P122" s="10">
        <f t="shared" si="8"/>
        <v>0</v>
      </c>
      <c r="Q122" s="10">
        <f t="shared" si="8"/>
        <v>0.5</v>
      </c>
      <c r="R122" s="10">
        <f t="shared" si="9"/>
        <v>1</v>
      </c>
      <c r="S122" s="10">
        <f t="shared" si="10"/>
        <v>1.5</v>
      </c>
      <c r="T122" s="10" t="str">
        <f t="shared" si="11"/>
        <v>★½</v>
      </c>
    </row>
    <row r="123" spans="1:20" s="4" customFormat="1" ht="20" thickBot="1" x14ac:dyDescent="0.3">
      <c r="A123" s="4" t="s">
        <v>248</v>
      </c>
      <c r="B123" s="4" t="s">
        <v>29</v>
      </c>
      <c r="C123" s="4" t="s">
        <v>109</v>
      </c>
      <c r="D123" s="4" t="s">
        <v>43</v>
      </c>
      <c r="E123" s="4">
        <v>25</v>
      </c>
      <c r="F123" s="4">
        <v>450</v>
      </c>
      <c r="G123" s="4">
        <v>36</v>
      </c>
      <c r="H123" s="5">
        <v>0.41699999999999998</v>
      </c>
      <c r="I123" s="4">
        <v>5</v>
      </c>
      <c r="J123" s="4">
        <v>0</v>
      </c>
      <c r="K123" s="4">
        <v>3</v>
      </c>
      <c r="L123" s="4">
        <v>0</v>
      </c>
      <c r="M123" s="6"/>
      <c r="N123" s="10">
        <f t="shared" si="6"/>
        <v>0</v>
      </c>
      <c r="O123" s="10">
        <f t="shared" si="7"/>
        <v>0</v>
      </c>
      <c r="P123" s="10">
        <f t="shared" si="8"/>
        <v>0</v>
      </c>
      <c r="Q123" s="10">
        <f t="shared" si="8"/>
        <v>0.5</v>
      </c>
      <c r="R123" s="10">
        <f t="shared" si="9"/>
        <v>0</v>
      </c>
      <c r="S123" s="10">
        <f t="shared" si="10"/>
        <v>0.5</v>
      </c>
      <c r="T123" s="10" t="str">
        <f t="shared" si="11"/>
        <v>☆½</v>
      </c>
    </row>
    <row r="124" spans="1:20" s="4" customFormat="1" ht="20" thickBot="1" x14ac:dyDescent="0.3">
      <c r="A124" s="4" t="s">
        <v>249</v>
      </c>
      <c r="B124" s="4" t="s">
        <v>29</v>
      </c>
      <c r="C124" s="4" t="s">
        <v>116</v>
      </c>
      <c r="D124" s="4" t="s">
        <v>24</v>
      </c>
      <c r="E124" s="4">
        <v>31</v>
      </c>
      <c r="F124" s="4">
        <v>162</v>
      </c>
      <c r="G124" s="4">
        <v>28</v>
      </c>
      <c r="H124" s="7">
        <v>0.25</v>
      </c>
      <c r="I124" s="4">
        <v>1</v>
      </c>
      <c r="J124" s="4">
        <v>1</v>
      </c>
      <c r="K124" s="4">
        <v>0</v>
      </c>
      <c r="L124" s="4">
        <v>0</v>
      </c>
      <c r="M124" s="6"/>
      <c r="N124" s="10">
        <f t="shared" si="6"/>
        <v>0</v>
      </c>
      <c r="O124" s="10">
        <f t="shared" si="7"/>
        <v>0</v>
      </c>
      <c r="P124" s="10">
        <f t="shared" si="8"/>
        <v>0</v>
      </c>
      <c r="Q124" s="10">
        <f t="shared" si="8"/>
        <v>0.5</v>
      </c>
      <c r="R124" s="10">
        <f t="shared" si="9"/>
        <v>1</v>
      </c>
      <c r="S124" s="10">
        <f t="shared" si="10"/>
        <v>1.5</v>
      </c>
      <c r="T124" s="10" t="str">
        <f t="shared" si="11"/>
        <v>★½</v>
      </c>
    </row>
    <row r="125" spans="1:20" s="4" customFormat="1" ht="20" thickBot="1" x14ac:dyDescent="0.3">
      <c r="A125" s="4" t="s">
        <v>250</v>
      </c>
      <c r="B125" s="4" t="s">
        <v>62</v>
      </c>
      <c r="C125" s="4" t="s">
        <v>228</v>
      </c>
      <c r="D125" s="4" t="s">
        <v>85</v>
      </c>
      <c r="E125" s="4">
        <v>30</v>
      </c>
      <c r="F125" s="4">
        <v>2034.0000000000002</v>
      </c>
      <c r="G125" s="4">
        <v>401</v>
      </c>
      <c r="H125" s="5">
        <v>0.29399999999999998</v>
      </c>
      <c r="I125" s="4">
        <v>39</v>
      </c>
      <c r="J125" s="4">
        <v>6</v>
      </c>
      <c r="K125" s="4">
        <v>1</v>
      </c>
      <c r="L125" s="4">
        <v>0</v>
      </c>
      <c r="M125" s="6"/>
      <c r="N125" s="10">
        <f t="shared" si="6"/>
        <v>1</v>
      </c>
      <c r="O125" s="10">
        <f t="shared" si="7"/>
        <v>0</v>
      </c>
      <c r="P125" s="10">
        <f t="shared" si="8"/>
        <v>1</v>
      </c>
      <c r="Q125" s="10">
        <f t="shared" si="8"/>
        <v>1</v>
      </c>
      <c r="R125" s="10">
        <f t="shared" si="9"/>
        <v>1</v>
      </c>
      <c r="S125" s="10">
        <f t="shared" si="10"/>
        <v>4</v>
      </c>
      <c r="T125" s="10" t="str">
        <f t="shared" si="11"/>
        <v>★★★★</v>
      </c>
    </row>
    <row r="126" spans="1:20" s="4" customFormat="1" ht="20" thickBot="1" x14ac:dyDescent="0.3">
      <c r="A126" s="4" t="s">
        <v>251</v>
      </c>
      <c r="B126" s="4" t="s">
        <v>29</v>
      </c>
      <c r="C126" s="4" t="s">
        <v>109</v>
      </c>
      <c r="D126" s="4" t="s">
        <v>30</v>
      </c>
      <c r="E126" s="4">
        <v>21</v>
      </c>
      <c r="F126" s="4">
        <v>3221.9999999999995</v>
      </c>
      <c r="G126" s="4">
        <v>223</v>
      </c>
      <c r="H126" s="5">
        <v>0.40799999999999997</v>
      </c>
      <c r="I126" s="4">
        <v>46</v>
      </c>
      <c r="J126" s="4">
        <v>3</v>
      </c>
      <c r="K126" s="4">
        <v>4</v>
      </c>
      <c r="L126" s="4">
        <v>0</v>
      </c>
      <c r="M126" s="6"/>
      <c r="N126" s="10">
        <f t="shared" si="6"/>
        <v>1</v>
      </c>
      <c r="O126" s="10">
        <f t="shared" si="7"/>
        <v>1</v>
      </c>
      <c r="P126" s="10">
        <f t="shared" si="8"/>
        <v>1</v>
      </c>
      <c r="Q126" s="10">
        <f t="shared" si="8"/>
        <v>1</v>
      </c>
      <c r="R126" s="10">
        <f t="shared" si="9"/>
        <v>0</v>
      </c>
      <c r="S126" s="10">
        <f t="shared" si="10"/>
        <v>4</v>
      </c>
      <c r="T126" s="10" t="str">
        <f t="shared" si="11"/>
        <v>★★★★</v>
      </c>
    </row>
    <row r="127" spans="1:20" s="4" customFormat="1" ht="20" thickBot="1" x14ac:dyDescent="0.3">
      <c r="A127" s="4" t="s">
        <v>252</v>
      </c>
      <c r="B127" s="4" t="s">
        <v>14</v>
      </c>
      <c r="C127" s="4" t="s">
        <v>116</v>
      </c>
      <c r="D127" s="4" t="s">
        <v>35</v>
      </c>
      <c r="E127" s="4">
        <v>23</v>
      </c>
      <c r="F127" s="4">
        <v>1035</v>
      </c>
      <c r="G127" s="4">
        <v>299</v>
      </c>
      <c r="H127" s="5">
        <v>0.29799999999999999</v>
      </c>
      <c r="I127" s="4">
        <v>27</v>
      </c>
      <c r="J127" s="4">
        <v>6</v>
      </c>
      <c r="K127" s="4">
        <v>4</v>
      </c>
      <c r="L127" s="4">
        <v>0</v>
      </c>
      <c r="M127" s="6"/>
      <c r="N127" s="10">
        <f t="shared" si="6"/>
        <v>0</v>
      </c>
      <c r="O127" s="10">
        <f t="shared" si="7"/>
        <v>0</v>
      </c>
      <c r="P127" s="10">
        <f t="shared" si="8"/>
        <v>0</v>
      </c>
      <c r="Q127" s="10">
        <f t="shared" si="8"/>
        <v>1</v>
      </c>
      <c r="R127" s="10">
        <f t="shared" si="9"/>
        <v>0</v>
      </c>
      <c r="S127" s="10">
        <f t="shared" si="10"/>
        <v>1</v>
      </c>
      <c r="T127" s="10" t="str">
        <f t="shared" si="11"/>
        <v>★</v>
      </c>
    </row>
    <row r="128" spans="1:20" s="4" customFormat="1" ht="20" thickBot="1" x14ac:dyDescent="0.3">
      <c r="A128" s="4" t="s">
        <v>253</v>
      </c>
      <c r="B128" s="4" t="s">
        <v>62</v>
      </c>
      <c r="C128" s="4" t="s">
        <v>116</v>
      </c>
      <c r="D128" s="4" t="s">
        <v>39</v>
      </c>
      <c r="E128" s="4">
        <v>30</v>
      </c>
      <c r="F128" s="4">
        <v>1854.0000000000002</v>
      </c>
      <c r="G128" s="4">
        <v>196</v>
      </c>
      <c r="H128" s="5">
        <v>0.28599999999999998</v>
      </c>
      <c r="I128" s="4">
        <v>19</v>
      </c>
      <c r="J128" s="4">
        <v>12</v>
      </c>
      <c r="K128" s="4">
        <v>1</v>
      </c>
      <c r="L128" s="4">
        <v>0</v>
      </c>
      <c r="M128" s="6"/>
      <c r="N128" s="10">
        <f t="shared" si="6"/>
        <v>1</v>
      </c>
      <c r="O128" s="10">
        <f t="shared" si="7"/>
        <v>0</v>
      </c>
      <c r="P128" s="10">
        <f t="shared" si="8"/>
        <v>0</v>
      </c>
      <c r="Q128" s="10">
        <f t="shared" si="8"/>
        <v>1</v>
      </c>
      <c r="R128" s="10">
        <f t="shared" si="9"/>
        <v>1</v>
      </c>
      <c r="S128" s="10">
        <f t="shared" si="10"/>
        <v>3</v>
      </c>
      <c r="T128" s="10" t="str">
        <f t="shared" si="11"/>
        <v>★★★</v>
      </c>
    </row>
    <row r="129" spans="1:20" s="4" customFormat="1" ht="20" thickBot="1" x14ac:dyDescent="0.3">
      <c r="A129" s="4" t="s">
        <v>254</v>
      </c>
      <c r="B129" s="4" t="s">
        <v>127</v>
      </c>
      <c r="C129" s="4" t="s">
        <v>109</v>
      </c>
      <c r="D129" s="4" t="s">
        <v>50</v>
      </c>
      <c r="E129" s="4">
        <v>29</v>
      </c>
      <c r="F129" s="4">
        <v>2898.0000000000005</v>
      </c>
      <c r="G129" s="4">
        <v>269</v>
      </c>
      <c r="H129" s="5">
        <v>0.379</v>
      </c>
      <c r="I129" s="4">
        <v>77</v>
      </c>
      <c r="J129" s="4">
        <v>1</v>
      </c>
      <c r="K129" s="4">
        <v>2</v>
      </c>
      <c r="L129" s="4">
        <v>0</v>
      </c>
      <c r="M129" s="6"/>
      <c r="N129" s="10">
        <f t="shared" si="6"/>
        <v>1</v>
      </c>
      <c r="O129" s="10">
        <f t="shared" si="7"/>
        <v>1</v>
      </c>
      <c r="P129" s="10">
        <f t="shared" si="8"/>
        <v>1</v>
      </c>
      <c r="Q129" s="10">
        <f t="shared" si="8"/>
        <v>0.5</v>
      </c>
      <c r="R129" s="10">
        <f t="shared" si="9"/>
        <v>1</v>
      </c>
      <c r="S129" s="10">
        <f t="shared" si="10"/>
        <v>4.5</v>
      </c>
      <c r="T129" s="10" t="str">
        <f t="shared" si="11"/>
        <v>★★★★½</v>
      </c>
    </row>
    <row r="130" spans="1:20" s="4" customFormat="1" ht="20" thickBot="1" x14ac:dyDescent="0.3">
      <c r="A130" s="4" t="s">
        <v>255</v>
      </c>
      <c r="B130" s="4" t="s">
        <v>29</v>
      </c>
      <c r="C130" s="4" t="s">
        <v>109</v>
      </c>
      <c r="D130" s="4" t="s">
        <v>69</v>
      </c>
      <c r="E130" s="4">
        <v>26</v>
      </c>
      <c r="F130" s="4">
        <v>396.00000000000006</v>
      </c>
      <c r="G130" s="4">
        <v>47</v>
      </c>
      <c r="H130" s="5">
        <v>0.44700000000000001</v>
      </c>
      <c r="I130" s="4">
        <v>10</v>
      </c>
      <c r="J130" s="4">
        <v>1</v>
      </c>
      <c r="K130" s="4">
        <v>0</v>
      </c>
      <c r="L130" s="4">
        <v>0</v>
      </c>
      <c r="M130" s="6"/>
      <c r="N130" s="10">
        <f t="shared" si="6"/>
        <v>0</v>
      </c>
      <c r="O130" s="10">
        <f t="shared" si="7"/>
        <v>0</v>
      </c>
      <c r="P130" s="10">
        <f t="shared" si="8"/>
        <v>0</v>
      </c>
      <c r="Q130" s="10">
        <f t="shared" si="8"/>
        <v>0.5</v>
      </c>
      <c r="R130" s="10">
        <f t="shared" si="9"/>
        <v>1</v>
      </c>
      <c r="S130" s="10">
        <f t="shared" si="10"/>
        <v>1.5</v>
      </c>
      <c r="T130" s="10" t="str">
        <f t="shared" si="11"/>
        <v>★½</v>
      </c>
    </row>
    <row r="131" spans="1:20" s="4" customFormat="1" ht="20" thickBot="1" x14ac:dyDescent="0.3">
      <c r="A131" s="4" t="s">
        <v>256</v>
      </c>
      <c r="B131" s="4" t="s">
        <v>29</v>
      </c>
      <c r="C131" s="4" t="s">
        <v>228</v>
      </c>
      <c r="D131" s="4" t="s">
        <v>35</v>
      </c>
      <c r="E131" s="4">
        <v>26</v>
      </c>
      <c r="F131" s="4">
        <v>999</v>
      </c>
      <c r="G131" s="4">
        <v>194</v>
      </c>
      <c r="H131" s="5">
        <v>0.27300000000000002</v>
      </c>
      <c r="I131" s="4">
        <v>22</v>
      </c>
      <c r="J131" s="4">
        <v>1</v>
      </c>
      <c r="K131" s="4">
        <v>5</v>
      </c>
      <c r="L131" s="4">
        <v>0</v>
      </c>
      <c r="M131" s="6"/>
      <c r="N131" s="10">
        <f t="shared" ref="N131:N194" si="12">IFERROR(_xlfn.IFS(F131&gt;=F$326,1,F131&gt;=F$325,0.5),0)</f>
        <v>0</v>
      </c>
      <c r="O131" s="10">
        <f t="shared" ref="O131:O194" si="13">IFERROR(_xlfn.IFS(AND(G131&gt;=G$326,H131&gt;=H$326),1,AND(G131&gt;=G$325,H131&gt;=H$325),0.5),0)</f>
        <v>0</v>
      </c>
      <c r="P131" s="10">
        <f t="shared" ref="P131:Q194" si="14">IFERROR(_xlfn.IFS(I131&gt;=I$326,1,I131&gt;=I$325,0.5),0)</f>
        <v>0</v>
      </c>
      <c r="Q131" s="10">
        <f t="shared" si="14"/>
        <v>0.5</v>
      </c>
      <c r="R131" s="10">
        <f t="shared" ref="R131:R194" si="15">IFERROR(_xlfn.IFS(AND(K131&lt;=K$326,L131&lt;=L$326),1,AND(K131&lt;=K$325,L131&lt;=L$325),0.5),0)</f>
        <v>0</v>
      </c>
      <c r="S131" s="10">
        <f t="shared" ref="S131:S194" si="16">SUM(N131:R131)</f>
        <v>0.5</v>
      </c>
      <c r="T131" s="10" t="str">
        <f t="shared" ref="T131:T194" si="17">_xlfn.IFS(S131=0,"☆",S131=0.5,"☆½",  S131=1,"★",S131 =1.5,"★½", S131 =2.5,"★★½", S131=2,"★★", S131=3,"★★★", S131 =3.5,"★★★½",S131=4,"★★★★", S131 =4.5,"★★★★½", S131=5,"★★★★★")</f>
        <v>☆½</v>
      </c>
    </row>
    <row r="132" spans="1:20" s="4" customFormat="1" ht="20" thickBot="1" x14ac:dyDescent="0.3">
      <c r="A132" s="4" t="s">
        <v>257</v>
      </c>
      <c r="B132" s="4" t="s">
        <v>29</v>
      </c>
      <c r="C132" s="4" t="s">
        <v>116</v>
      </c>
      <c r="D132" s="4" t="s">
        <v>15</v>
      </c>
      <c r="E132" s="4">
        <v>31</v>
      </c>
      <c r="F132" s="4">
        <v>2601</v>
      </c>
      <c r="G132" s="4">
        <v>467</v>
      </c>
      <c r="H132" s="5">
        <v>0.313</v>
      </c>
      <c r="I132" s="4">
        <v>31</v>
      </c>
      <c r="J132" s="4">
        <v>7</v>
      </c>
      <c r="K132" s="4">
        <v>3</v>
      </c>
      <c r="L132" s="4">
        <v>0</v>
      </c>
      <c r="M132" s="6"/>
      <c r="N132" s="10">
        <f t="shared" si="12"/>
        <v>1</v>
      </c>
      <c r="O132" s="10">
        <f t="shared" si="13"/>
        <v>1</v>
      </c>
      <c r="P132" s="10">
        <f t="shared" si="14"/>
        <v>1</v>
      </c>
      <c r="Q132" s="10">
        <f t="shared" si="14"/>
        <v>1</v>
      </c>
      <c r="R132" s="10">
        <f t="shared" si="15"/>
        <v>0</v>
      </c>
      <c r="S132" s="10">
        <f t="shared" si="16"/>
        <v>4</v>
      </c>
      <c r="T132" s="10" t="str">
        <f t="shared" si="17"/>
        <v>★★★★</v>
      </c>
    </row>
    <row r="133" spans="1:20" s="4" customFormat="1" ht="20" thickBot="1" x14ac:dyDescent="0.3">
      <c r="A133" s="4" t="s">
        <v>258</v>
      </c>
      <c r="B133" s="4" t="s">
        <v>55</v>
      </c>
      <c r="C133" s="4" t="s">
        <v>116</v>
      </c>
      <c r="D133" s="4" t="s">
        <v>35</v>
      </c>
      <c r="E133" s="4">
        <v>29</v>
      </c>
      <c r="F133" s="4">
        <v>72</v>
      </c>
      <c r="G133" s="4">
        <v>16</v>
      </c>
      <c r="H133" s="5">
        <v>0.125</v>
      </c>
      <c r="I133" s="4">
        <v>0</v>
      </c>
      <c r="J133" s="4">
        <v>1</v>
      </c>
      <c r="K133" s="4">
        <v>0</v>
      </c>
      <c r="L133" s="4">
        <v>0</v>
      </c>
      <c r="M133" s="6"/>
      <c r="N133" s="10">
        <f t="shared" si="12"/>
        <v>0</v>
      </c>
      <c r="O133" s="10">
        <f t="shared" si="13"/>
        <v>0</v>
      </c>
      <c r="P133" s="10">
        <f t="shared" si="14"/>
        <v>0</v>
      </c>
      <c r="Q133" s="10">
        <f t="shared" si="14"/>
        <v>0.5</v>
      </c>
      <c r="R133" s="10">
        <f t="shared" si="15"/>
        <v>1</v>
      </c>
      <c r="S133" s="10">
        <f t="shared" si="16"/>
        <v>1.5</v>
      </c>
      <c r="T133" s="10" t="str">
        <f t="shared" si="17"/>
        <v>★½</v>
      </c>
    </row>
    <row r="134" spans="1:20" s="4" customFormat="1" ht="20" thickBot="1" x14ac:dyDescent="0.3">
      <c r="A134" s="4" t="s">
        <v>259</v>
      </c>
      <c r="B134" s="4" t="s">
        <v>29</v>
      </c>
      <c r="C134" s="4" t="s">
        <v>109</v>
      </c>
      <c r="D134" s="4" t="s">
        <v>43</v>
      </c>
      <c r="E134" s="4">
        <v>24</v>
      </c>
      <c r="F134" s="4">
        <v>2772</v>
      </c>
      <c r="G134" s="4">
        <v>396</v>
      </c>
      <c r="H134" s="5">
        <v>0.26800000000000002</v>
      </c>
      <c r="I134" s="4">
        <v>74</v>
      </c>
      <c r="J134" s="4">
        <v>3</v>
      </c>
      <c r="K134" s="4">
        <v>2</v>
      </c>
      <c r="L134" s="4">
        <v>0</v>
      </c>
      <c r="M134" s="6"/>
      <c r="N134" s="10">
        <f t="shared" si="12"/>
        <v>1</v>
      </c>
      <c r="O134" s="10">
        <f t="shared" si="13"/>
        <v>0</v>
      </c>
      <c r="P134" s="10">
        <f t="shared" si="14"/>
        <v>1</v>
      </c>
      <c r="Q134" s="10">
        <f t="shared" si="14"/>
        <v>1</v>
      </c>
      <c r="R134" s="10">
        <f t="shared" si="15"/>
        <v>1</v>
      </c>
      <c r="S134" s="10">
        <f t="shared" si="16"/>
        <v>4</v>
      </c>
      <c r="T134" s="10" t="str">
        <f t="shared" si="17"/>
        <v>★★★★</v>
      </c>
    </row>
    <row r="135" spans="1:20" s="4" customFormat="1" ht="20" thickBot="1" x14ac:dyDescent="0.3">
      <c r="A135" s="4" t="s">
        <v>260</v>
      </c>
      <c r="B135" s="4" t="s">
        <v>60</v>
      </c>
      <c r="C135" s="4" t="s">
        <v>109</v>
      </c>
      <c r="D135" s="4" t="s">
        <v>81</v>
      </c>
      <c r="E135" s="4">
        <v>19</v>
      </c>
      <c r="F135" s="4">
        <v>306</v>
      </c>
      <c r="G135" s="4">
        <v>81</v>
      </c>
      <c r="H135" s="5">
        <v>0.309</v>
      </c>
      <c r="I135" s="4">
        <v>6</v>
      </c>
      <c r="J135" s="4">
        <v>0</v>
      </c>
      <c r="K135" s="4">
        <v>1</v>
      </c>
      <c r="L135" s="4">
        <v>0</v>
      </c>
      <c r="M135" s="6"/>
      <c r="N135" s="10">
        <f t="shared" si="12"/>
        <v>0</v>
      </c>
      <c r="O135" s="10">
        <f t="shared" si="13"/>
        <v>0</v>
      </c>
      <c r="P135" s="10">
        <f t="shared" si="14"/>
        <v>0</v>
      </c>
      <c r="Q135" s="10">
        <f t="shared" si="14"/>
        <v>0.5</v>
      </c>
      <c r="R135" s="10">
        <f t="shared" si="15"/>
        <v>1</v>
      </c>
      <c r="S135" s="10">
        <f t="shared" si="16"/>
        <v>1.5</v>
      </c>
      <c r="T135" s="10" t="str">
        <f t="shared" si="17"/>
        <v>★½</v>
      </c>
    </row>
    <row r="136" spans="1:20" s="4" customFormat="1" ht="20" thickBot="1" x14ac:dyDescent="0.3">
      <c r="A136" s="4" t="s">
        <v>261</v>
      </c>
      <c r="B136" s="4" t="s">
        <v>67</v>
      </c>
      <c r="C136" s="4" t="s">
        <v>116</v>
      </c>
      <c r="D136" s="4" t="s">
        <v>65</v>
      </c>
      <c r="E136" s="4">
        <v>25</v>
      </c>
      <c r="F136" s="4">
        <v>3195</v>
      </c>
      <c r="G136" s="4">
        <v>669</v>
      </c>
      <c r="H136" s="5">
        <v>0.26300000000000001</v>
      </c>
      <c r="I136" s="4">
        <v>73</v>
      </c>
      <c r="J136" s="4">
        <v>4</v>
      </c>
      <c r="K136" s="4">
        <v>3</v>
      </c>
      <c r="L136" s="4">
        <v>0</v>
      </c>
      <c r="M136" s="6"/>
      <c r="N136" s="10">
        <f t="shared" si="12"/>
        <v>1</v>
      </c>
      <c r="O136" s="10">
        <f t="shared" si="13"/>
        <v>0</v>
      </c>
      <c r="P136" s="10">
        <f t="shared" si="14"/>
        <v>1</v>
      </c>
      <c r="Q136" s="10">
        <f t="shared" si="14"/>
        <v>1</v>
      </c>
      <c r="R136" s="10">
        <f t="shared" si="15"/>
        <v>0</v>
      </c>
      <c r="S136" s="10">
        <f t="shared" si="16"/>
        <v>3</v>
      </c>
      <c r="T136" s="10" t="str">
        <f t="shared" si="17"/>
        <v>★★★</v>
      </c>
    </row>
    <row r="137" spans="1:20" s="4" customFormat="1" ht="20" thickBot="1" x14ac:dyDescent="0.3">
      <c r="A137" s="4" t="s">
        <v>262</v>
      </c>
      <c r="B137" s="4" t="s">
        <v>29</v>
      </c>
      <c r="C137" s="4" t="s">
        <v>109</v>
      </c>
      <c r="D137" s="4" t="s">
        <v>63</v>
      </c>
      <c r="E137" s="4">
        <v>25</v>
      </c>
      <c r="F137" s="4">
        <v>846</v>
      </c>
      <c r="G137" s="4">
        <v>62</v>
      </c>
      <c r="H137" s="5">
        <v>0.30599999999999999</v>
      </c>
      <c r="I137" s="4">
        <v>25</v>
      </c>
      <c r="J137" s="4">
        <v>1</v>
      </c>
      <c r="K137" s="4">
        <v>4</v>
      </c>
      <c r="L137" s="4">
        <v>1</v>
      </c>
      <c r="M137" s="6"/>
      <c r="N137" s="10">
        <f t="shared" si="12"/>
        <v>0</v>
      </c>
      <c r="O137" s="10">
        <f t="shared" si="13"/>
        <v>0</v>
      </c>
      <c r="P137" s="10">
        <f t="shared" si="14"/>
        <v>0</v>
      </c>
      <c r="Q137" s="10">
        <f t="shared" si="14"/>
        <v>0.5</v>
      </c>
      <c r="R137" s="10">
        <f t="shared" si="15"/>
        <v>0</v>
      </c>
      <c r="S137" s="10">
        <f t="shared" si="16"/>
        <v>0.5</v>
      </c>
      <c r="T137" s="10" t="str">
        <f t="shared" si="17"/>
        <v>☆½</v>
      </c>
    </row>
    <row r="138" spans="1:20" s="4" customFormat="1" ht="20" thickBot="1" x14ac:dyDescent="0.3">
      <c r="A138" s="4" t="s">
        <v>263</v>
      </c>
      <c r="B138" s="4" t="s">
        <v>29</v>
      </c>
      <c r="C138" s="4" t="s">
        <v>109</v>
      </c>
      <c r="D138" s="4" t="s">
        <v>27</v>
      </c>
      <c r="E138" s="4">
        <v>24</v>
      </c>
      <c r="F138" s="4">
        <v>2133</v>
      </c>
      <c r="G138" s="4">
        <v>231</v>
      </c>
      <c r="H138" s="5">
        <v>0.33800000000000002</v>
      </c>
      <c r="I138" s="4">
        <v>30</v>
      </c>
      <c r="J138" s="4">
        <v>3</v>
      </c>
      <c r="K138" s="4">
        <v>7</v>
      </c>
      <c r="L138" s="4">
        <v>1</v>
      </c>
      <c r="M138" s="6"/>
      <c r="N138" s="10">
        <f t="shared" si="12"/>
        <v>1</v>
      </c>
      <c r="O138" s="10">
        <f t="shared" si="13"/>
        <v>1</v>
      </c>
      <c r="P138" s="10">
        <f t="shared" si="14"/>
        <v>1</v>
      </c>
      <c r="Q138" s="10">
        <f t="shared" si="14"/>
        <v>1</v>
      </c>
      <c r="R138" s="10">
        <f t="shared" si="15"/>
        <v>0</v>
      </c>
      <c r="S138" s="10">
        <f t="shared" si="16"/>
        <v>4</v>
      </c>
      <c r="T138" s="10" t="str">
        <f t="shared" si="17"/>
        <v>★★★★</v>
      </c>
    </row>
    <row r="139" spans="1:20" s="4" customFormat="1" ht="20" thickBot="1" x14ac:dyDescent="0.3">
      <c r="A139" s="4" t="s">
        <v>264</v>
      </c>
      <c r="B139" s="4" t="s">
        <v>29</v>
      </c>
      <c r="C139" s="4" t="s">
        <v>116</v>
      </c>
      <c r="D139" s="4" t="s">
        <v>30</v>
      </c>
      <c r="E139" s="4">
        <v>26</v>
      </c>
      <c r="F139" s="4">
        <v>1053</v>
      </c>
      <c r="G139" s="4">
        <v>215</v>
      </c>
      <c r="H139" s="5">
        <v>0.26500000000000001</v>
      </c>
      <c r="I139" s="4">
        <v>25</v>
      </c>
      <c r="J139" s="4">
        <v>1</v>
      </c>
      <c r="K139" s="4">
        <v>6</v>
      </c>
      <c r="L139" s="4">
        <v>0</v>
      </c>
      <c r="M139" s="6"/>
      <c r="N139" s="10">
        <f t="shared" si="12"/>
        <v>0</v>
      </c>
      <c r="O139" s="10">
        <f t="shared" si="13"/>
        <v>0</v>
      </c>
      <c r="P139" s="10">
        <f t="shared" si="14"/>
        <v>0</v>
      </c>
      <c r="Q139" s="10">
        <f t="shared" si="14"/>
        <v>0.5</v>
      </c>
      <c r="R139" s="10">
        <f t="shared" si="15"/>
        <v>0</v>
      </c>
      <c r="S139" s="10">
        <f t="shared" si="16"/>
        <v>0.5</v>
      </c>
      <c r="T139" s="10" t="str">
        <f t="shared" si="17"/>
        <v>☆½</v>
      </c>
    </row>
    <row r="140" spans="1:20" s="4" customFormat="1" ht="20" thickBot="1" x14ac:dyDescent="0.3">
      <c r="A140" s="4" t="s">
        <v>265</v>
      </c>
      <c r="B140" s="4" t="s">
        <v>29</v>
      </c>
      <c r="C140" s="4" t="s">
        <v>116</v>
      </c>
      <c r="D140" s="4" t="s">
        <v>69</v>
      </c>
      <c r="E140" s="4">
        <v>18</v>
      </c>
      <c r="F140" s="4">
        <v>90</v>
      </c>
      <c r="G140" s="4">
        <v>24</v>
      </c>
      <c r="H140" s="5">
        <v>0.33300000000000002</v>
      </c>
      <c r="I140" s="4">
        <v>1</v>
      </c>
      <c r="J140" s="4">
        <v>0</v>
      </c>
      <c r="K140" s="4">
        <v>1</v>
      </c>
      <c r="L140" s="4">
        <v>0</v>
      </c>
      <c r="M140" s="6"/>
      <c r="N140" s="10">
        <f t="shared" si="12"/>
        <v>0</v>
      </c>
      <c r="O140" s="10">
        <f t="shared" si="13"/>
        <v>0</v>
      </c>
      <c r="P140" s="10">
        <f t="shared" si="14"/>
        <v>0</v>
      </c>
      <c r="Q140" s="10">
        <f t="shared" si="14"/>
        <v>0.5</v>
      </c>
      <c r="R140" s="10">
        <f t="shared" si="15"/>
        <v>1</v>
      </c>
      <c r="S140" s="10">
        <f t="shared" si="16"/>
        <v>1.5</v>
      </c>
      <c r="T140" s="10" t="str">
        <f t="shared" si="17"/>
        <v>★½</v>
      </c>
    </row>
    <row r="141" spans="1:20" s="4" customFormat="1" ht="20" thickBot="1" x14ac:dyDescent="0.3">
      <c r="A141" s="4" t="s">
        <v>266</v>
      </c>
      <c r="B141" s="4" t="s">
        <v>219</v>
      </c>
      <c r="C141" s="4" t="s">
        <v>228</v>
      </c>
      <c r="D141" s="4" t="s">
        <v>27</v>
      </c>
      <c r="E141" s="4">
        <v>25</v>
      </c>
      <c r="F141" s="4">
        <v>2034.0000000000002</v>
      </c>
      <c r="G141" s="4">
        <v>519</v>
      </c>
      <c r="H141" s="5">
        <v>0.29499999999999998</v>
      </c>
      <c r="I141" s="4">
        <v>45</v>
      </c>
      <c r="J141" s="4">
        <v>4</v>
      </c>
      <c r="K141" s="4">
        <v>1</v>
      </c>
      <c r="L141" s="4">
        <v>0</v>
      </c>
      <c r="M141" s="6"/>
      <c r="N141" s="10">
        <f t="shared" si="12"/>
        <v>1</v>
      </c>
      <c r="O141" s="10">
        <f t="shared" si="13"/>
        <v>0</v>
      </c>
      <c r="P141" s="10">
        <f t="shared" si="14"/>
        <v>1</v>
      </c>
      <c r="Q141" s="10">
        <f t="shared" si="14"/>
        <v>1</v>
      </c>
      <c r="R141" s="10">
        <f t="shared" si="15"/>
        <v>1</v>
      </c>
      <c r="S141" s="10">
        <f t="shared" si="16"/>
        <v>4</v>
      </c>
      <c r="T141" s="10" t="str">
        <f t="shared" si="17"/>
        <v>★★★★</v>
      </c>
    </row>
    <row r="142" spans="1:20" s="4" customFormat="1" ht="20" thickBot="1" x14ac:dyDescent="0.3">
      <c r="A142" s="4" t="s">
        <v>267</v>
      </c>
      <c r="B142" s="4" t="s">
        <v>29</v>
      </c>
      <c r="C142" s="4" t="s">
        <v>109</v>
      </c>
      <c r="D142" s="4" t="s">
        <v>21</v>
      </c>
      <c r="E142" s="4">
        <v>21</v>
      </c>
      <c r="F142" s="4">
        <v>1863</v>
      </c>
      <c r="G142" s="4">
        <v>265</v>
      </c>
      <c r="H142" s="5">
        <v>0.35099999999999998</v>
      </c>
      <c r="I142" s="4">
        <v>29</v>
      </c>
      <c r="J142" s="4">
        <v>14</v>
      </c>
      <c r="K142" s="4">
        <v>4</v>
      </c>
      <c r="L142" s="4">
        <v>1</v>
      </c>
      <c r="M142" s="6"/>
      <c r="N142" s="10">
        <f t="shared" si="12"/>
        <v>1</v>
      </c>
      <c r="O142" s="10">
        <f t="shared" si="13"/>
        <v>1</v>
      </c>
      <c r="P142" s="10">
        <f t="shared" si="14"/>
        <v>1</v>
      </c>
      <c r="Q142" s="10">
        <f t="shared" si="14"/>
        <v>1</v>
      </c>
      <c r="R142" s="10">
        <f t="shared" si="15"/>
        <v>0</v>
      </c>
      <c r="S142" s="10">
        <f t="shared" si="16"/>
        <v>4</v>
      </c>
      <c r="T142" s="10" t="str">
        <f t="shared" si="17"/>
        <v>★★★★</v>
      </c>
    </row>
    <row r="143" spans="1:20" s="4" customFormat="1" ht="20" thickBot="1" x14ac:dyDescent="0.3">
      <c r="A143" s="4" t="s">
        <v>268</v>
      </c>
      <c r="B143" s="4" t="s">
        <v>62</v>
      </c>
      <c r="C143" s="4" t="s">
        <v>116</v>
      </c>
      <c r="D143" s="4" t="s">
        <v>43</v>
      </c>
      <c r="E143" s="4">
        <v>23</v>
      </c>
      <c r="F143" s="4">
        <v>2295</v>
      </c>
      <c r="G143" s="4">
        <v>487</v>
      </c>
      <c r="H143" s="5">
        <v>0.29799999999999999</v>
      </c>
      <c r="I143" s="4">
        <v>43</v>
      </c>
      <c r="J143" s="4">
        <v>4</v>
      </c>
      <c r="K143" s="4">
        <v>3</v>
      </c>
      <c r="L143" s="4">
        <v>0</v>
      </c>
      <c r="M143" s="6"/>
      <c r="N143" s="10">
        <f t="shared" si="12"/>
        <v>1</v>
      </c>
      <c r="O143" s="10">
        <f t="shared" si="13"/>
        <v>0</v>
      </c>
      <c r="P143" s="10">
        <f t="shared" si="14"/>
        <v>1</v>
      </c>
      <c r="Q143" s="10">
        <f t="shared" si="14"/>
        <v>1</v>
      </c>
      <c r="R143" s="10">
        <f t="shared" si="15"/>
        <v>0</v>
      </c>
      <c r="S143" s="10">
        <f t="shared" si="16"/>
        <v>3</v>
      </c>
      <c r="T143" s="10" t="str">
        <f t="shared" si="17"/>
        <v>★★★</v>
      </c>
    </row>
    <row r="144" spans="1:20" s="4" customFormat="1" ht="20" thickBot="1" x14ac:dyDescent="0.3">
      <c r="A144" s="4" t="s">
        <v>269</v>
      </c>
      <c r="B144" s="4" t="s">
        <v>75</v>
      </c>
      <c r="C144" s="4" t="s">
        <v>109</v>
      </c>
      <c r="D144" s="4" t="s">
        <v>43</v>
      </c>
      <c r="E144" s="4">
        <v>30</v>
      </c>
      <c r="F144" s="4">
        <v>3321</v>
      </c>
      <c r="G144" s="4">
        <v>204</v>
      </c>
      <c r="H144" s="5">
        <v>0.36799999999999999</v>
      </c>
      <c r="I144" s="4">
        <v>56</v>
      </c>
      <c r="J144" s="4">
        <v>4</v>
      </c>
      <c r="K144" s="4">
        <v>7</v>
      </c>
      <c r="L144" s="4">
        <v>0</v>
      </c>
      <c r="M144" s="6"/>
      <c r="N144" s="10">
        <f t="shared" si="12"/>
        <v>1</v>
      </c>
      <c r="O144" s="10">
        <f t="shared" si="13"/>
        <v>0.5</v>
      </c>
      <c r="P144" s="10">
        <f t="shared" si="14"/>
        <v>1</v>
      </c>
      <c r="Q144" s="10">
        <f t="shared" si="14"/>
        <v>1</v>
      </c>
      <c r="R144" s="10">
        <f t="shared" si="15"/>
        <v>0</v>
      </c>
      <c r="S144" s="10">
        <f t="shared" si="16"/>
        <v>3.5</v>
      </c>
      <c r="T144" s="10" t="str">
        <f t="shared" si="17"/>
        <v>★★★½</v>
      </c>
    </row>
    <row r="145" spans="1:20" s="4" customFormat="1" ht="20" thickBot="1" x14ac:dyDescent="0.3">
      <c r="A145" s="4" t="s">
        <v>270</v>
      </c>
      <c r="B145" s="4" t="s">
        <v>67</v>
      </c>
      <c r="C145" s="4" t="s">
        <v>116</v>
      </c>
      <c r="D145" s="4" t="s">
        <v>43</v>
      </c>
      <c r="E145" s="4">
        <v>25</v>
      </c>
      <c r="F145" s="4">
        <v>1602</v>
      </c>
      <c r="G145" s="4">
        <v>456</v>
      </c>
      <c r="H145" s="5">
        <v>0.29199999999999998</v>
      </c>
      <c r="I145" s="4">
        <v>33</v>
      </c>
      <c r="J145" s="4">
        <v>1</v>
      </c>
      <c r="K145" s="4">
        <v>0</v>
      </c>
      <c r="L145" s="4">
        <v>0</v>
      </c>
      <c r="M145" s="6"/>
      <c r="N145" s="10">
        <f t="shared" si="12"/>
        <v>1</v>
      </c>
      <c r="O145" s="10">
        <f t="shared" si="13"/>
        <v>0</v>
      </c>
      <c r="P145" s="10">
        <f t="shared" si="14"/>
        <v>1</v>
      </c>
      <c r="Q145" s="10">
        <f t="shared" si="14"/>
        <v>0.5</v>
      </c>
      <c r="R145" s="10">
        <f t="shared" si="15"/>
        <v>1</v>
      </c>
      <c r="S145" s="10">
        <f t="shared" si="16"/>
        <v>3.5</v>
      </c>
      <c r="T145" s="10" t="str">
        <f t="shared" si="17"/>
        <v>★★★½</v>
      </c>
    </row>
    <row r="146" spans="1:20" s="4" customFormat="1" ht="20" thickBot="1" x14ac:dyDescent="0.3">
      <c r="A146" s="4" t="s">
        <v>271</v>
      </c>
      <c r="B146" s="4" t="s">
        <v>29</v>
      </c>
      <c r="C146" s="4" t="s">
        <v>109</v>
      </c>
      <c r="D146" s="4" t="s">
        <v>18</v>
      </c>
      <c r="E146" s="4">
        <v>21</v>
      </c>
      <c r="F146" s="4">
        <v>1395</v>
      </c>
      <c r="G146" s="4">
        <v>172</v>
      </c>
      <c r="H146" s="5">
        <v>0.35499999999999998</v>
      </c>
      <c r="I146" s="4">
        <v>49</v>
      </c>
      <c r="J146" s="4">
        <v>1</v>
      </c>
      <c r="K146" s="4">
        <v>1</v>
      </c>
      <c r="L146" s="4">
        <v>0</v>
      </c>
      <c r="M146" s="6"/>
      <c r="N146" s="10">
        <f t="shared" si="12"/>
        <v>0</v>
      </c>
      <c r="O146" s="10">
        <f t="shared" si="13"/>
        <v>0</v>
      </c>
      <c r="P146" s="10">
        <f t="shared" si="14"/>
        <v>1</v>
      </c>
      <c r="Q146" s="10">
        <f t="shared" si="14"/>
        <v>0.5</v>
      </c>
      <c r="R146" s="10">
        <f t="shared" si="15"/>
        <v>1</v>
      </c>
      <c r="S146" s="10">
        <f t="shared" si="16"/>
        <v>2.5</v>
      </c>
      <c r="T146" s="10" t="str">
        <f t="shared" si="17"/>
        <v>★★½</v>
      </c>
    </row>
    <row r="147" spans="1:20" s="4" customFormat="1" ht="20" thickBot="1" x14ac:dyDescent="0.3">
      <c r="A147" s="4" t="s">
        <v>272</v>
      </c>
      <c r="B147" s="4" t="s">
        <v>29</v>
      </c>
      <c r="C147" s="4" t="s">
        <v>116</v>
      </c>
      <c r="D147" s="4" t="s">
        <v>15</v>
      </c>
      <c r="E147" s="4">
        <v>20</v>
      </c>
      <c r="F147" s="4">
        <v>855</v>
      </c>
      <c r="G147" s="4">
        <v>212</v>
      </c>
      <c r="H147" s="5">
        <v>0.28799999999999998</v>
      </c>
      <c r="I147" s="4">
        <v>5</v>
      </c>
      <c r="J147" s="4">
        <v>2</v>
      </c>
      <c r="K147" s="4">
        <v>0</v>
      </c>
      <c r="L147" s="4">
        <v>0</v>
      </c>
      <c r="M147" s="6"/>
      <c r="N147" s="10">
        <f t="shared" si="12"/>
        <v>0</v>
      </c>
      <c r="O147" s="10">
        <f t="shared" si="13"/>
        <v>0</v>
      </c>
      <c r="P147" s="10">
        <f t="shared" si="14"/>
        <v>0</v>
      </c>
      <c r="Q147" s="10">
        <f t="shared" si="14"/>
        <v>0.5</v>
      </c>
      <c r="R147" s="10">
        <f t="shared" si="15"/>
        <v>1</v>
      </c>
      <c r="S147" s="10">
        <f t="shared" si="16"/>
        <v>1.5</v>
      </c>
      <c r="T147" s="10" t="str">
        <f t="shared" si="17"/>
        <v>★½</v>
      </c>
    </row>
    <row r="148" spans="1:20" s="4" customFormat="1" ht="20" thickBot="1" x14ac:dyDescent="0.3">
      <c r="A148" s="4" t="s">
        <v>273</v>
      </c>
      <c r="B148" s="4" t="s">
        <v>29</v>
      </c>
      <c r="C148" s="4" t="s">
        <v>109</v>
      </c>
      <c r="D148" s="4" t="s">
        <v>47</v>
      </c>
      <c r="E148" s="4">
        <v>29</v>
      </c>
      <c r="F148" s="4">
        <v>162</v>
      </c>
      <c r="G148" s="4">
        <v>23</v>
      </c>
      <c r="H148" s="5">
        <v>0.17399999999999999</v>
      </c>
      <c r="I148" s="4">
        <v>3</v>
      </c>
      <c r="J148" s="4">
        <v>0</v>
      </c>
      <c r="K148" s="4">
        <v>0</v>
      </c>
      <c r="L148" s="4">
        <v>0</v>
      </c>
      <c r="M148" s="6"/>
      <c r="N148" s="10">
        <f t="shared" si="12"/>
        <v>0</v>
      </c>
      <c r="O148" s="10">
        <f t="shared" si="13"/>
        <v>0</v>
      </c>
      <c r="P148" s="10">
        <f t="shared" si="14"/>
        <v>0</v>
      </c>
      <c r="Q148" s="10">
        <f t="shared" si="14"/>
        <v>0.5</v>
      </c>
      <c r="R148" s="10">
        <f t="shared" si="15"/>
        <v>1</v>
      </c>
      <c r="S148" s="10">
        <f t="shared" si="16"/>
        <v>1.5</v>
      </c>
      <c r="T148" s="10" t="str">
        <f t="shared" si="17"/>
        <v>★½</v>
      </c>
    </row>
    <row r="149" spans="1:20" s="4" customFormat="1" ht="20" thickBot="1" x14ac:dyDescent="0.3">
      <c r="A149" s="4" t="s">
        <v>274</v>
      </c>
      <c r="B149" s="4" t="s">
        <v>67</v>
      </c>
      <c r="C149" s="4" t="s">
        <v>109</v>
      </c>
      <c r="D149" s="4" t="s">
        <v>43</v>
      </c>
      <c r="E149" s="4">
        <v>31</v>
      </c>
      <c r="F149" s="4">
        <v>522</v>
      </c>
      <c r="G149" s="4">
        <v>54</v>
      </c>
      <c r="H149" s="5">
        <v>0.24099999999999999</v>
      </c>
      <c r="I149" s="4">
        <v>8</v>
      </c>
      <c r="J149" s="4">
        <v>1</v>
      </c>
      <c r="K149" s="4">
        <v>2</v>
      </c>
      <c r="L149" s="4">
        <v>0</v>
      </c>
      <c r="M149" s="6"/>
      <c r="N149" s="10">
        <f t="shared" si="12"/>
        <v>0</v>
      </c>
      <c r="O149" s="10">
        <f t="shared" si="13"/>
        <v>0</v>
      </c>
      <c r="P149" s="10">
        <f t="shared" si="14"/>
        <v>0</v>
      </c>
      <c r="Q149" s="10">
        <f t="shared" si="14"/>
        <v>0.5</v>
      </c>
      <c r="R149" s="10">
        <f t="shared" si="15"/>
        <v>1</v>
      </c>
      <c r="S149" s="10">
        <f t="shared" si="16"/>
        <v>1.5</v>
      </c>
      <c r="T149" s="10" t="str">
        <f t="shared" si="17"/>
        <v>★½</v>
      </c>
    </row>
    <row r="150" spans="1:20" s="4" customFormat="1" ht="20" thickBot="1" x14ac:dyDescent="0.3">
      <c r="A150" s="4" t="s">
        <v>275</v>
      </c>
      <c r="B150" s="4" t="s">
        <v>276</v>
      </c>
      <c r="C150" s="4" t="s">
        <v>116</v>
      </c>
      <c r="D150" s="4" t="s">
        <v>21</v>
      </c>
      <c r="E150" s="4">
        <v>29</v>
      </c>
      <c r="F150" s="4">
        <v>2277</v>
      </c>
      <c r="G150" s="4">
        <v>488</v>
      </c>
      <c r="H150" s="5">
        <v>0.35899999999999999</v>
      </c>
      <c r="I150" s="4">
        <v>35</v>
      </c>
      <c r="J150" s="4">
        <v>8</v>
      </c>
      <c r="K150" s="4">
        <v>5</v>
      </c>
      <c r="L150" s="4">
        <v>0</v>
      </c>
      <c r="M150" s="6"/>
      <c r="N150" s="10">
        <f t="shared" si="12"/>
        <v>1</v>
      </c>
      <c r="O150" s="10">
        <f t="shared" si="13"/>
        <v>1</v>
      </c>
      <c r="P150" s="10">
        <f t="shared" si="14"/>
        <v>1</v>
      </c>
      <c r="Q150" s="10">
        <f t="shared" si="14"/>
        <v>1</v>
      </c>
      <c r="R150" s="10">
        <f t="shared" si="15"/>
        <v>0</v>
      </c>
      <c r="S150" s="10">
        <f t="shared" si="16"/>
        <v>4</v>
      </c>
      <c r="T150" s="10" t="str">
        <f t="shared" si="17"/>
        <v>★★★★</v>
      </c>
    </row>
    <row r="151" spans="1:20" s="4" customFormat="1" ht="20" thickBot="1" x14ac:dyDescent="0.3">
      <c r="A151" s="4" t="s">
        <v>277</v>
      </c>
      <c r="B151" s="4" t="s">
        <v>29</v>
      </c>
      <c r="C151" s="4" t="s">
        <v>109</v>
      </c>
      <c r="D151" s="4" t="s">
        <v>87</v>
      </c>
      <c r="E151" s="4">
        <v>23</v>
      </c>
      <c r="F151" s="4">
        <v>999</v>
      </c>
      <c r="G151" s="4">
        <v>181</v>
      </c>
      <c r="H151" s="5">
        <v>0.28699999999999998</v>
      </c>
      <c r="I151" s="4">
        <v>28</v>
      </c>
      <c r="J151" s="4">
        <v>0</v>
      </c>
      <c r="K151" s="4">
        <v>0</v>
      </c>
      <c r="L151" s="4">
        <v>0</v>
      </c>
      <c r="M151" s="6"/>
      <c r="N151" s="10">
        <f t="shared" si="12"/>
        <v>0</v>
      </c>
      <c r="O151" s="10">
        <f t="shared" si="13"/>
        <v>0</v>
      </c>
      <c r="P151" s="10">
        <f t="shared" si="14"/>
        <v>0.5</v>
      </c>
      <c r="Q151" s="10">
        <f t="shared" si="14"/>
        <v>0.5</v>
      </c>
      <c r="R151" s="10">
        <f t="shared" si="15"/>
        <v>1</v>
      </c>
      <c r="S151" s="10">
        <f t="shared" si="16"/>
        <v>2</v>
      </c>
      <c r="T151" s="10" t="str">
        <f t="shared" si="17"/>
        <v>★★</v>
      </c>
    </row>
    <row r="152" spans="1:20" s="4" customFormat="1" ht="20" thickBot="1" x14ac:dyDescent="0.3">
      <c r="A152" s="4" t="s">
        <v>278</v>
      </c>
      <c r="B152" s="4" t="s">
        <v>279</v>
      </c>
      <c r="C152" s="4" t="s">
        <v>109</v>
      </c>
      <c r="D152" s="4" t="s">
        <v>50</v>
      </c>
      <c r="E152" s="4">
        <v>21</v>
      </c>
      <c r="F152" s="4">
        <v>917.99999999999989</v>
      </c>
      <c r="G152" s="4">
        <v>94</v>
      </c>
      <c r="H152" s="5">
        <v>0.40400000000000003</v>
      </c>
      <c r="I152" s="4">
        <v>19</v>
      </c>
      <c r="J152" s="4">
        <v>0</v>
      </c>
      <c r="K152" s="4">
        <v>2</v>
      </c>
      <c r="L152" s="4">
        <v>0</v>
      </c>
      <c r="M152" s="6"/>
      <c r="N152" s="10">
        <f t="shared" si="12"/>
        <v>0</v>
      </c>
      <c r="O152" s="10">
        <f t="shared" si="13"/>
        <v>0</v>
      </c>
      <c r="P152" s="10">
        <f t="shared" si="14"/>
        <v>0</v>
      </c>
      <c r="Q152" s="10">
        <f t="shared" si="14"/>
        <v>0.5</v>
      </c>
      <c r="R152" s="10">
        <f t="shared" si="15"/>
        <v>1</v>
      </c>
      <c r="S152" s="10">
        <f t="shared" si="16"/>
        <v>1.5</v>
      </c>
      <c r="T152" s="10" t="str">
        <f t="shared" si="17"/>
        <v>★½</v>
      </c>
    </row>
    <row r="153" spans="1:20" s="4" customFormat="1" ht="20" thickBot="1" x14ac:dyDescent="0.3">
      <c r="A153" s="4" t="s">
        <v>280</v>
      </c>
      <c r="B153" s="4" t="s">
        <v>162</v>
      </c>
      <c r="C153" s="4" t="s">
        <v>109</v>
      </c>
      <c r="D153" s="4" t="s">
        <v>24</v>
      </c>
      <c r="E153" s="4">
        <v>30</v>
      </c>
      <c r="F153" s="4">
        <v>1197</v>
      </c>
      <c r="G153" s="4">
        <v>83</v>
      </c>
      <c r="H153" s="5">
        <v>0.42199999999999999</v>
      </c>
      <c r="I153" s="4">
        <v>33</v>
      </c>
      <c r="J153" s="4">
        <v>0</v>
      </c>
      <c r="K153" s="4">
        <v>0</v>
      </c>
      <c r="L153" s="4">
        <v>0</v>
      </c>
      <c r="M153" s="6"/>
      <c r="N153" s="10">
        <f t="shared" si="12"/>
        <v>0</v>
      </c>
      <c r="O153" s="10">
        <f t="shared" si="13"/>
        <v>0</v>
      </c>
      <c r="P153" s="10">
        <f t="shared" si="14"/>
        <v>1</v>
      </c>
      <c r="Q153" s="10">
        <f t="shared" si="14"/>
        <v>0.5</v>
      </c>
      <c r="R153" s="10">
        <f t="shared" si="15"/>
        <v>1</v>
      </c>
      <c r="S153" s="10">
        <f t="shared" si="16"/>
        <v>2.5</v>
      </c>
      <c r="T153" s="10" t="str">
        <f t="shared" si="17"/>
        <v>★★½</v>
      </c>
    </row>
    <row r="154" spans="1:20" s="4" customFormat="1" ht="20" thickBot="1" x14ac:dyDescent="0.3">
      <c r="A154" s="4" t="s">
        <v>281</v>
      </c>
      <c r="B154" s="4" t="s">
        <v>133</v>
      </c>
      <c r="C154" s="4" t="s">
        <v>109</v>
      </c>
      <c r="D154" s="4" t="s">
        <v>24</v>
      </c>
      <c r="E154" s="4">
        <v>27</v>
      </c>
      <c r="F154" s="4">
        <v>1620</v>
      </c>
      <c r="G154" s="4">
        <v>300</v>
      </c>
      <c r="H154" s="7">
        <v>0.25</v>
      </c>
      <c r="I154" s="4">
        <v>33</v>
      </c>
      <c r="J154" s="4">
        <v>1</v>
      </c>
      <c r="K154" s="4">
        <v>5</v>
      </c>
      <c r="L154" s="4">
        <v>1</v>
      </c>
      <c r="M154" s="6"/>
      <c r="N154" s="10">
        <f t="shared" si="12"/>
        <v>1</v>
      </c>
      <c r="O154" s="10">
        <f t="shared" si="13"/>
        <v>0</v>
      </c>
      <c r="P154" s="10">
        <f t="shared" si="14"/>
        <v>1</v>
      </c>
      <c r="Q154" s="10">
        <f t="shared" si="14"/>
        <v>0.5</v>
      </c>
      <c r="R154" s="10">
        <f t="shared" si="15"/>
        <v>0</v>
      </c>
      <c r="S154" s="10">
        <f t="shared" si="16"/>
        <v>2.5</v>
      </c>
      <c r="T154" s="10" t="str">
        <f t="shared" si="17"/>
        <v>★★½</v>
      </c>
    </row>
    <row r="155" spans="1:20" s="4" customFormat="1" ht="20" thickBot="1" x14ac:dyDescent="0.3">
      <c r="A155" s="4" t="s">
        <v>282</v>
      </c>
      <c r="B155" s="4" t="s">
        <v>17</v>
      </c>
      <c r="C155" s="4" t="s">
        <v>116</v>
      </c>
      <c r="D155" s="4" t="s">
        <v>21</v>
      </c>
      <c r="E155" s="4">
        <v>30</v>
      </c>
      <c r="F155" s="4">
        <v>1773</v>
      </c>
      <c r="G155" s="4">
        <v>385</v>
      </c>
      <c r="H155" s="5">
        <v>0.34799999999999998</v>
      </c>
      <c r="I155" s="4">
        <v>37</v>
      </c>
      <c r="J155" s="4">
        <v>6</v>
      </c>
      <c r="K155" s="4">
        <v>2</v>
      </c>
      <c r="L155" s="4">
        <v>0</v>
      </c>
      <c r="M155" s="6"/>
      <c r="N155" s="10">
        <f t="shared" si="12"/>
        <v>1</v>
      </c>
      <c r="O155" s="10">
        <f t="shared" si="13"/>
        <v>1</v>
      </c>
      <c r="P155" s="10">
        <f t="shared" si="14"/>
        <v>1</v>
      </c>
      <c r="Q155" s="10">
        <f t="shared" si="14"/>
        <v>1</v>
      </c>
      <c r="R155" s="10">
        <f t="shared" si="15"/>
        <v>1</v>
      </c>
      <c r="S155" s="10">
        <f t="shared" si="16"/>
        <v>5</v>
      </c>
      <c r="T155" s="10" t="str">
        <f t="shared" si="17"/>
        <v>★★★★★</v>
      </c>
    </row>
    <row r="156" spans="1:20" s="4" customFormat="1" ht="20" thickBot="1" x14ac:dyDescent="0.3">
      <c r="A156" s="4" t="s">
        <v>283</v>
      </c>
      <c r="B156" s="4" t="s">
        <v>284</v>
      </c>
      <c r="C156" s="4" t="s">
        <v>116</v>
      </c>
      <c r="D156" s="4" t="s">
        <v>24</v>
      </c>
      <c r="E156" s="4">
        <v>23</v>
      </c>
      <c r="F156" s="4">
        <v>801</v>
      </c>
      <c r="G156" s="4">
        <v>127</v>
      </c>
      <c r="H156" s="7">
        <v>0.37</v>
      </c>
      <c r="I156" s="4">
        <v>13</v>
      </c>
      <c r="J156" s="4">
        <v>0</v>
      </c>
      <c r="K156" s="4">
        <v>0</v>
      </c>
      <c r="L156" s="4">
        <v>0</v>
      </c>
      <c r="M156" s="6"/>
      <c r="N156" s="10">
        <f t="shared" si="12"/>
        <v>0</v>
      </c>
      <c r="O156" s="10">
        <f t="shared" si="13"/>
        <v>0</v>
      </c>
      <c r="P156" s="10">
        <f t="shared" si="14"/>
        <v>0</v>
      </c>
      <c r="Q156" s="10">
        <f t="shared" si="14"/>
        <v>0.5</v>
      </c>
      <c r="R156" s="10">
        <f t="shared" si="15"/>
        <v>1</v>
      </c>
      <c r="S156" s="10">
        <f t="shared" si="16"/>
        <v>1.5</v>
      </c>
      <c r="T156" s="10" t="str">
        <f t="shared" si="17"/>
        <v>★½</v>
      </c>
    </row>
    <row r="157" spans="1:20" s="4" customFormat="1" ht="20" thickBot="1" x14ac:dyDescent="0.3">
      <c r="A157" s="4" t="s">
        <v>285</v>
      </c>
      <c r="B157" s="4" t="s">
        <v>29</v>
      </c>
      <c r="C157" s="4" t="s">
        <v>109</v>
      </c>
      <c r="D157" s="4" t="s">
        <v>27</v>
      </c>
      <c r="E157" s="4">
        <v>28</v>
      </c>
      <c r="F157" s="4">
        <v>2790</v>
      </c>
      <c r="G157" s="4">
        <v>228</v>
      </c>
      <c r="H157" s="5">
        <v>0.40799999999999997</v>
      </c>
      <c r="I157" s="4">
        <v>51</v>
      </c>
      <c r="J157" s="4">
        <v>5</v>
      </c>
      <c r="K157" s="4">
        <v>4</v>
      </c>
      <c r="L157" s="4">
        <v>1</v>
      </c>
      <c r="M157" s="6"/>
      <c r="N157" s="10">
        <f t="shared" si="12"/>
        <v>1</v>
      </c>
      <c r="O157" s="10">
        <f t="shared" si="13"/>
        <v>1</v>
      </c>
      <c r="P157" s="10">
        <f t="shared" si="14"/>
        <v>1</v>
      </c>
      <c r="Q157" s="10">
        <f t="shared" si="14"/>
        <v>1</v>
      </c>
      <c r="R157" s="10">
        <f t="shared" si="15"/>
        <v>0</v>
      </c>
      <c r="S157" s="10">
        <f t="shared" si="16"/>
        <v>4</v>
      </c>
      <c r="T157" s="10" t="str">
        <f t="shared" si="17"/>
        <v>★★★★</v>
      </c>
    </row>
    <row r="158" spans="1:20" s="4" customFormat="1" ht="20" thickBot="1" x14ac:dyDescent="0.3">
      <c r="A158" s="4" t="s">
        <v>286</v>
      </c>
      <c r="B158" s="4" t="s">
        <v>287</v>
      </c>
      <c r="C158" s="4" t="s">
        <v>116</v>
      </c>
      <c r="D158" s="4" t="s">
        <v>15</v>
      </c>
      <c r="E158" s="4">
        <v>26</v>
      </c>
      <c r="F158" s="4">
        <v>1170</v>
      </c>
      <c r="G158" s="4">
        <v>321</v>
      </c>
      <c r="H158" s="5">
        <v>0.33300000000000002</v>
      </c>
      <c r="I158" s="4">
        <v>24</v>
      </c>
      <c r="J158" s="4">
        <v>4</v>
      </c>
      <c r="K158" s="4">
        <v>3</v>
      </c>
      <c r="L158" s="4">
        <v>0</v>
      </c>
      <c r="M158" s="6"/>
      <c r="N158" s="10">
        <f t="shared" si="12"/>
        <v>0</v>
      </c>
      <c r="O158" s="10">
        <f t="shared" si="13"/>
        <v>1</v>
      </c>
      <c r="P158" s="10">
        <f t="shared" si="14"/>
        <v>0</v>
      </c>
      <c r="Q158" s="10">
        <f t="shared" si="14"/>
        <v>1</v>
      </c>
      <c r="R158" s="10">
        <f t="shared" si="15"/>
        <v>0</v>
      </c>
      <c r="S158" s="10">
        <f t="shared" si="16"/>
        <v>2</v>
      </c>
      <c r="T158" s="10" t="str">
        <f t="shared" si="17"/>
        <v>★★</v>
      </c>
    </row>
    <row r="159" spans="1:20" s="4" customFormat="1" ht="20" thickBot="1" x14ac:dyDescent="0.3">
      <c r="A159" s="4" t="s">
        <v>288</v>
      </c>
      <c r="B159" s="4" t="s">
        <v>14</v>
      </c>
      <c r="C159" s="4" t="s">
        <v>109</v>
      </c>
      <c r="D159" s="4" t="s">
        <v>21</v>
      </c>
      <c r="E159" s="4">
        <v>25</v>
      </c>
      <c r="F159" s="4">
        <v>54</v>
      </c>
      <c r="G159" s="4">
        <v>9</v>
      </c>
      <c r="H159" s="5">
        <v>0.222</v>
      </c>
      <c r="I159" s="4">
        <v>2</v>
      </c>
      <c r="J159" s="4">
        <v>1</v>
      </c>
      <c r="K159" s="4">
        <v>0</v>
      </c>
      <c r="L159" s="4">
        <v>0</v>
      </c>
      <c r="M159" s="6"/>
      <c r="N159" s="10">
        <f t="shared" si="12"/>
        <v>0</v>
      </c>
      <c r="O159" s="10">
        <f t="shared" si="13"/>
        <v>0</v>
      </c>
      <c r="P159" s="10">
        <f t="shared" si="14"/>
        <v>0</v>
      </c>
      <c r="Q159" s="10">
        <f t="shared" si="14"/>
        <v>0.5</v>
      </c>
      <c r="R159" s="10">
        <f t="shared" si="15"/>
        <v>1</v>
      </c>
      <c r="S159" s="10">
        <f t="shared" si="16"/>
        <v>1.5</v>
      </c>
      <c r="T159" s="10" t="str">
        <f t="shared" si="17"/>
        <v>★½</v>
      </c>
    </row>
    <row r="160" spans="1:20" s="4" customFormat="1" ht="20" thickBot="1" x14ac:dyDescent="0.3">
      <c r="A160" s="4" t="s">
        <v>289</v>
      </c>
      <c r="B160" s="4" t="s">
        <v>29</v>
      </c>
      <c r="C160" s="4" t="s">
        <v>109</v>
      </c>
      <c r="D160" s="4" t="s">
        <v>27</v>
      </c>
      <c r="E160" s="4">
        <v>24</v>
      </c>
      <c r="F160" s="4">
        <v>1017.0000000000001</v>
      </c>
      <c r="G160" s="4">
        <v>141</v>
      </c>
      <c r="H160" s="5">
        <v>0.36199999999999999</v>
      </c>
      <c r="I160" s="4">
        <v>17</v>
      </c>
      <c r="J160" s="4">
        <v>1</v>
      </c>
      <c r="K160" s="4">
        <v>3</v>
      </c>
      <c r="L160" s="4">
        <v>1</v>
      </c>
      <c r="M160" s="6"/>
      <c r="N160" s="10">
        <f t="shared" si="12"/>
        <v>0</v>
      </c>
      <c r="O160" s="10">
        <f t="shared" si="13"/>
        <v>0</v>
      </c>
      <c r="P160" s="10">
        <f t="shared" si="14"/>
        <v>0</v>
      </c>
      <c r="Q160" s="10">
        <f t="shared" si="14"/>
        <v>0.5</v>
      </c>
      <c r="R160" s="10">
        <f t="shared" si="15"/>
        <v>0</v>
      </c>
      <c r="S160" s="10">
        <f t="shared" si="16"/>
        <v>0.5</v>
      </c>
      <c r="T160" s="10" t="str">
        <f t="shared" si="17"/>
        <v>☆½</v>
      </c>
    </row>
    <row r="161" spans="1:20" s="4" customFormat="1" ht="20" thickBot="1" x14ac:dyDescent="0.3">
      <c r="A161" s="4" t="s">
        <v>290</v>
      </c>
      <c r="B161" s="4" t="s">
        <v>29</v>
      </c>
      <c r="C161" s="4" t="s">
        <v>109</v>
      </c>
      <c r="D161" s="4" t="s">
        <v>81</v>
      </c>
      <c r="E161" s="4">
        <v>24</v>
      </c>
      <c r="F161" s="4">
        <v>2691</v>
      </c>
      <c r="G161" s="4">
        <v>240</v>
      </c>
      <c r="H161" s="5">
        <v>0.38300000000000001</v>
      </c>
      <c r="I161" s="4">
        <v>52</v>
      </c>
      <c r="J161" s="4">
        <v>1</v>
      </c>
      <c r="K161" s="4">
        <v>3</v>
      </c>
      <c r="L161" s="4">
        <v>0</v>
      </c>
      <c r="M161" s="6"/>
      <c r="N161" s="10">
        <f t="shared" si="12"/>
        <v>1</v>
      </c>
      <c r="O161" s="10">
        <f t="shared" si="13"/>
        <v>1</v>
      </c>
      <c r="P161" s="10">
        <f t="shared" si="14"/>
        <v>1</v>
      </c>
      <c r="Q161" s="10">
        <f t="shared" si="14"/>
        <v>0.5</v>
      </c>
      <c r="R161" s="10">
        <f t="shared" si="15"/>
        <v>0</v>
      </c>
      <c r="S161" s="10">
        <f t="shared" si="16"/>
        <v>3.5</v>
      </c>
      <c r="T161" s="10" t="str">
        <f t="shared" si="17"/>
        <v>★★★½</v>
      </c>
    </row>
    <row r="162" spans="1:20" s="4" customFormat="1" ht="20" thickBot="1" x14ac:dyDescent="0.3">
      <c r="A162" s="4" t="s">
        <v>291</v>
      </c>
      <c r="B162" s="4" t="s">
        <v>41</v>
      </c>
      <c r="C162" s="4" t="s">
        <v>116</v>
      </c>
      <c r="D162" s="4" t="s">
        <v>58</v>
      </c>
      <c r="E162" s="4">
        <v>31</v>
      </c>
      <c r="F162" s="4">
        <v>2070</v>
      </c>
      <c r="G162" s="4">
        <v>595</v>
      </c>
      <c r="H162" s="5">
        <v>0.252</v>
      </c>
      <c r="I162" s="4">
        <v>24</v>
      </c>
      <c r="J162" s="4">
        <v>3</v>
      </c>
      <c r="K162" s="4">
        <v>5</v>
      </c>
      <c r="L162" s="4">
        <v>0</v>
      </c>
      <c r="M162" s="6"/>
      <c r="N162" s="10">
        <f t="shared" si="12"/>
        <v>1</v>
      </c>
      <c r="O162" s="10">
        <f t="shared" si="13"/>
        <v>0</v>
      </c>
      <c r="P162" s="10">
        <f t="shared" si="14"/>
        <v>0</v>
      </c>
      <c r="Q162" s="10">
        <f t="shared" si="14"/>
        <v>1</v>
      </c>
      <c r="R162" s="10">
        <f t="shared" si="15"/>
        <v>0</v>
      </c>
      <c r="S162" s="10">
        <f t="shared" si="16"/>
        <v>2</v>
      </c>
      <c r="T162" s="10" t="str">
        <f t="shared" si="17"/>
        <v>★★</v>
      </c>
    </row>
    <row r="163" spans="1:20" s="4" customFormat="1" ht="20" thickBot="1" x14ac:dyDescent="0.3">
      <c r="A163" s="4" t="s">
        <v>292</v>
      </c>
      <c r="B163" s="4" t="s">
        <v>62</v>
      </c>
      <c r="C163" s="4" t="s">
        <v>228</v>
      </c>
      <c r="D163" s="4" t="s">
        <v>58</v>
      </c>
      <c r="E163" s="4">
        <v>25</v>
      </c>
      <c r="F163" s="4">
        <v>1575</v>
      </c>
      <c r="G163" s="4">
        <v>299</v>
      </c>
      <c r="H163" s="5">
        <v>0.33400000000000002</v>
      </c>
      <c r="I163" s="4">
        <v>33</v>
      </c>
      <c r="J163" s="4">
        <v>0</v>
      </c>
      <c r="K163" s="4">
        <v>3</v>
      </c>
      <c r="L163" s="4">
        <v>0</v>
      </c>
      <c r="M163" s="6"/>
      <c r="N163" s="10">
        <f t="shared" si="12"/>
        <v>1</v>
      </c>
      <c r="O163" s="10">
        <f t="shared" si="13"/>
        <v>1</v>
      </c>
      <c r="P163" s="10">
        <f t="shared" si="14"/>
        <v>1</v>
      </c>
      <c r="Q163" s="10">
        <f t="shared" si="14"/>
        <v>0.5</v>
      </c>
      <c r="R163" s="10">
        <f t="shared" si="15"/>
        <v>0</v>
      </c>
      <c r="S163" s="10">
        <f t="shared" si="16"/>
        <v>3.5</v>
      </c>
      <c r="T163" s="10" t="str">
        <f t="shared" si="17"/>
        <v>★★★½</v>
      </c>
    </row>
    <row r="164" spans="1:20" s="4" customFormat="1" ht="20" thickBot="1" x14ac:dyDescent="0.3">
      <c r="A164" s="4" t="s">
        <v>293</v>
      </c>
      <c r="B164" s="4" t="s">
        <v>26</v>
      </c>
      <c r="C164" s="4" t="s">
        <v>109</v>
      </c>
      <c r="D164" s="4" t="s">
        <v>63</v>
      </c>
      <c r="E164" s="4">
        <v>28</v>
      </c>
      <c r="F164" s="4">
        <v>90</v>
      </c>
      <c r="G164" s="4">
        <v>12</v>
      </c>
      <c r="H164" s="7">
        <v>0.25</v>
      </c>
      <c r="I164" s="4">
        <v>2</v>
      </c>
      <c r="J164" s="4">
        <v>0</v>
      </c>
      <c r="K164" s="4">
        <v>1</v>
      </c>
      <c r="L164" s="4">
        <v>0</v>
      </c>
      <c r="M164" s="6"/>
      <c r="N164" s="10">
        <f t="shared" si="12"/>
        <v>0</v>
      </c>
      <c r="O164" s="10">
        <f t="shared" si="13"/>
        <v>0</v>
      </c>
      <c r="P164" s="10">
        <f t="shared" si="14"/>
        <v>0</v>
      </c>
      <c r="Q164" s="10">
        <f t="shared" si="14"/>
        <v>0.5</v>
      </c>
      <c r="R164" s="10">
        <f t="shared" si="15"/>
        <v>1</v>
      </c>
      <c r="S164" s="10">
        <f t="shared" si="16"/>
        <v>1.5</v>
      </c>
      <c r="T164" s="10" t="str">
        <f t="shared" si="17"/>
        <v>★½</v>
      </c>
    </row>
    <row r="165" spans="1:20" s="4" customFormat="1" ht="20" thickBot="1" x14ac:dyDescent="0.3">
      <c r="A165" s="4" t="s">
        <v>294</v>
      </c>
      <c r="B165" s="4" t="s">
        <v>17</v>
      </c>
      <c r="C165" s="4" t="s">
        <v>109</v>
      </c>
      <c r="D165" s="4" t="s">
        <v>15</v>
      </c>
      <c r="E165" s="4">
        <v>22</v>
      </c>
      <c r="F165" s="4">
        <v>990</v>
      </c>
      <c r="G165" s="4">
        <v>86</v>
      </c>
      <c r="H165" s="5">
        <v>0.26700000000000002</v>
      </c>
      <c r="I165" s="4">
        <v>15</v>
      </c>
      <c r="J165" s="4">
        <v>0</v>
      </c>
      <c r="K165" s="4">
        <v>2</v>
      </c>
      <c r="L165" s="4">
        <v>0</v>
      </c>
      <c r="M165" s="6"/>
      <c r="N165" s="10">
        <f t="shared" si="12"/>
        <v>0</v>
      </c>
      <c r="O165" s="10">
        <f t="shared" si="13"/>
        <v>0</v>
      </c>
      <c r="P165" s="10">
        <f t="shared" si="14"/>
        <v>0</v>
      </c>
      <c r="Q165" s="10">
        <f t="shared" si="14"/>
        <v>0.5</v>
      </c>
      <c r="R165" s="10">
        <f t="shared" si="15"/>
        <v>1</v>
      </c>
      <c r="S165" s="10">
        <f t="shared" si="16"/>
        <v>1.5</v>
      </c>
      <c r="T165" s="10" t="str">
        <f t="shared" si="17"/>
        <v>★½</v>
      </c>
    </row>
    <row r="166" spans="1:20" s="4" customFormat="1" ht="20" thickBot="1" x14ac:dyDescent="0.3">
      <c r="A166" s="4" t="s">
        <v>295</v>
      </c>
      <c r="B166" s="4" t="s">
        <v>29</v>
      </c>
      <c r="C166" s="4" t="s">
        <v>109</v>
      </c>
      <c r="D166" s="4" t="s">
        <v>69</v>
      </c>
      <c r="E166" s="4">
        <v>23</v>
      </c>
      <c r="F166" s="4">
        <v>2475</v>
      </c>
      <c r="G166" s="4">
        <v>179</v>
      </c>
      <c r="H166" s="5">
        <v>0.35799999999999998</v>
      </c>
      <c r="I166" s="4">
        <v>43</v>
      </c>
      <c r="J166" s="4">
        <v>2</v>
      </c>
      <c r="K166" s="4">
        <v>6</v>
      </c>
      <c r="L166" s="4">
        <v>2</v>
      </c>
      <c r="M166" s="6"/>
      <c r="N166" s="10">
        <f t="shared" si="12"/>
        <v>1</v>
      </c>
      <c r="O166" s="10">
        <f t="shared" si="13"/>
        <v>0.5</v>
      </c>
      <c r="P166" s="10">
        <f t="shared" si="14"/>
        <v>1</v>
      </c>
      <c r="Q166" s="10">
        <f t="shared" si="14"/>
        <v>0.5</v>
      </c>
      <c r="R166" s="10">
        <f t="shared" si="15"/>
        <v>0</v>
      </c>
      <c r="S166" s="10">
        <f t="shared" si="16"/>
        <v>3</v>
      </c>
      <c r="T166" s="10" t="str">
        <f t="shared" si="17"/>
        <v>★★★</v>
      </c>
    </row>
    <row r="167" spans="1:20" s="4" customFormat="1" ht="20" thickBot="1" x14ac:dyDescent="0.3">
      <c r="A167" s="4" t="s">
        <v>296</v>
      </c>
      <c r="B167" s="4" t="s">
        <v>72</v>
      </c>
      <c r="C167" s="4" t="s">
        <v>116</v>
      </c>
      <c r="D167" s="4" t="s">
        <v>30</v>
      </c>
      <c r="E167" s="4">
        <v>31</v>
      </c>
      <c r="F167" s="4">
        <v>1970.9999999999998</v>
      </c>
      <c r="G167" s="4">
        <v>393</v>
      </c>
      <c r="H167" s="5">
        <v>0.29299999999999998</v>
      </c>
      <c r="I167" s="4">
        <v>59</v>
      </c>
      <c r="J167" s="4">
        <v>1</v>
      </c>
      <c r="K167" s="4">
        <v>3</v>
      </c>
      <c r="L167" s="4">
        <v>0</v>
      </c>
      <c r="M167" s="6"/>
      <c r="N167" s="10">
        <f t="shared" si="12"/>
        <v>1</v>
      </c>
      <c r="O167" s="10">
        <f t="shared" si="13"/>
        <v>0</v>
      </c>
      <c r="P167" s="10">
        <f t="shared" si="14"/>
        <v>1</v>
      </c>
      <c r="Q167" s="10">
        <f t="shared" si="14"/>
        <v>0.5</v>
      </c>
      <c r="R167" s="10">
        <f t="shared" si="15"/>
        <v>0</v>
      </c>
      <c r="S167" s="10">
        <f t="shared" si="16"/>
        <v>2.5</v>
      </c>
      <c r="T167" s="10" t="str">
        <f t="shared" si="17"/>
        <v>★★½</v>
      </c>
    </row>
    <row r="168" spans="1:20" s="4" customFormat="1" ht="20" thickBot="1" x14ac:dyDescent="0.3">
      <c r="A168" s="4" t="s">
        <v>297</v>
      </c>
      <c r="B168" s="4" t="s">
        <v>298</v>
      </c>
      <c r="C168" s="4" t="s">
        <v>116</v>
      </c>
      <c r="D168" s="4" t="s">
        <v>21</v>
      </c>
      <c r="E168" s="4">
        <v>27</v>
      </c>
      <c r="F168" s="4">
        <v>1557</v>
      </c>
      <c r="G168" s="4">
        <v>379</v>
      </c>
      <c r="H168" s="5">
        <v>0.30299999999999999</v>
      </c>
      <c r="I168" s="4">
        <v>18</v>
      </c>
      <c r="J168" s="4">
        <v>7</v>
      </c>
      <c r="K168" s="4">
        <v>4</v>
      </c>
      <c r="L168" s="4">
        <v>0</v>
      </c>
      <c r="M168" s="6"/>
      <c r="N168" s="10">
        <f t="shared" si="12"/>
        <v>1</v>
      </c>
      <c r="O168" s="10">
        <f t="shared" si="13"/>
        <v>0</v>
      </c>
      <c r="P168" s="10">
        <f t="shared" si="14"/>
        <v>0</v>
      </c>
      <c r="Q168" s="10">
        <f t="shared" si="14"/>
        <v>1</v>
      </c>
      <c r="R168" s="10">
        <f t="shared" si="15"/>
        <v>0</v>
      </c>
      <c r="S168" s="10">
        <f t="shared" si="16"/>
        <v>2</v>
      </c>
      <c r="T168" s="10" t="str">
        <f t="shared" si="17"/>
        <v>★★</v>
      </c>
    </row>
    <row r="169" spans="1:20" s="4" customFormat="1" ht="20" thickBot="1" x14ac:dyDescent="0.3">
      <c r="A169" s="4" t="s">
        <v>299</v>
      </c>
      <c r="B169" s="4" t="s">
        <v>75</v>
      </c>
      <c r="C169" s="4" t="s">
        <v>109</v>
      </c>
      <c r="D169" s="4" t="s">
        <v>35</v>
      </c>
      <c r="E169" s="4">
        <v>26</v>
      </c>
      <c r="F169" s="4">
        <v>1638</v>
      </c>
      <c r="G169" s="4">
        <v>232</v>
      </c>
      <c r="H169" s="5">
        <v>0.27600000000000002</v>
      </c>
      <c r="I169" s="4">
        <v>38</v>
      </c>
      <c r="J169" s="4">
        <v>1</v>
      </c>
      <c r="K169" s="4">
        <v>5</v>
      </c>
      <c r="L169" s="4">
        <v>0</v>
      </c>
      <c r="M169" s="6"/>
      <c r="N169" s="10">
        <f t="shared" si="12"/>
        <v>1</v>
      </c>
      <c r="O169" s="10">
        <f t="shared" si="13"/>
        <v>0</v>
      </c>
      <c r="P169" s="10">
        <f t="shared" si="14"/>
        <v>1</v>
      </c>
      <c r="Q169" s="10">
        <f t="shared" si="14"/>
        <v>0.5</v>
      </c>
      <c r="R169" s="10">
        <f t="shared" si="15"/>
        <v>0</v>
      </c>
      <c r="S169" s="10">
        <f t="shared" si="16"/>
        <v>2.5</v>
      </c>
      <c r="T169" s="10" t="str">
        <f t="shared" si="17"/>
        <v>★★½</v>
      </c>
    </row>
    <row r="170" spans="1:20" s="4" customFormat="1" ht="20" thickBot="1" x14ac:dyDescent="0.3">
      <c r="A170" s="4" t="s">
        <v>300</v>
      </c>
      <c r="B170" s="4" t="s">
        <v>185</v>
      </c>
      <c r="C170" s="4" t="s">
        <v>116</v>
      </c>
      <c r="D170" s="4" t="s">
        <v>18</v>
      </c>
      <c r="E170" s="4">
        <v>23</v>
      </c>
      <c r="F170" s="4">
        <v>0</v>
      </c>
      <c r="G170" s="4">
        <v>2</v>
      </c>
      <c r="H170" s="7">
        <v>1</v>
      </c>
      <c r="I170" s="4">
        <v>0</v>
      </c>
      <c r="J170" s="4">
        <v>0</v>
      </c>
      <c r="K170" s="4">
        <v>0</v>
      </c>
      <c r="L170" s="4">
        <v>0</v>
      </c>
      <c r="M170" s="6"/>
      <c r="N170" s="10">
        <f t="shared" si="12"/>
        <v>0</v>
      </c>
      <c r="O170" s="10">
        <f t="shared" si="13"/>
        <v>0</v>
      </c>
      <c r="P170" s="10">
        <f t="shared" si="14"/>
        <v>0</v>
      </c>
      <c r="Q170" s="10">
        <f t="shared" si="14"/>
        <v>0.5</v>
      </c>
      <c r="R170" s="10">
        <f t="shared" si="15"/>
        <v>1</v>
      </c>
      <c r="S170" s="10">
        <f t="shared" si="16"/>
        <v>1.5</v>
      </c>
      <c r="T170" s="10" t="str">
        <f t="shared" si="17"/>
        <v>★½</v>
      </c>
    </row>
    <row r="171" spans="1:20" s="4" customFormat="1" ht="20" thickBot="1" x14ac:dyDescent="0.3">
      <c r="A171" s="4" t="s">
        <v>301</v>
      </c>
      <c r="B171" s="4" t="s">
        <v>37</v>
      </c>
      <c r="C171" s="4" t="s">
        <v>116</v>
      </c>
      <c r="D171" s="4" t="s">
        <v>24</v>
      </c>
      <c r="E171" s="4">
        <v>34</v>
      </c>
      <c r="F171" s="4">
        <v>1917</v>
      </c>
      <c r="G171" s="4">
        <v>423</v>
      </c>
      <c r="H171" s="5">
        <v>0.31900000000000001</v>
      </c>
      <c r="I171" s="4">
        <v>39</v>
      </c>
      <c r="J171" s="4">
        <v>2</v>
      </c>
      <c r="K171" s="4">
        <v>5</v>
      </c>
      <c r="L171" s="4">
        <v>1</v>
      </c>
      <c r="M171" s="6"/>
      <c r="N171" s="10">
        <f t="shared" si="12"/>
        <v>1</v>
      </c>
      <c r="O171" s="10">
        <f t="shared" si="13"/>
        <v>1</v>
      </c>
      <c r="P171" s="10">
        <f t="shared" si="14"/>
        <v>1</v>
      </c>
      <c r="Q171" s="10">
        <f t="shared" si="14"/>
        <v>0.5</v>
      </c>
      <c r="R171" s="10">
        <f t="shared" si="15"/>
        <v>0</v>
      </c>
      <c r="S171" s="10">
        <f t="shared" si="16"/>
        <v>3.5</v>
      </c>
      <c r="T171" s="10" t="str">
        <f t="shared" si="17"/>
        <v>★★★½</v>
      </c>
    </row>
    <row r="172" spans="1:20" s="4" customFormat="1" ht="20" thickBot="1" x14ac:dyDescent="0.3">
      <c r="A172" s="4" t="s">
        <v>302</v>
      </c>
      <c r="B172" s="4" t="s">
        <v>29</v>
      </c>
      <c r="C172" s="4" t="s">
        <v>116</v>
      </c>
      <c r="D172" s="4" t="s">
        <v>85</v>
      </c>
      <c r="E172" s="4">
        <v>33</v>
      </c>
      <c r="F172" s="4">
        <v>1557</v>
      </c>
      <c r="G172" s="4">
        <v>303</v>
      </c>
      <c r="H172" s="5">
        <v>0.34300000000000003</v>
      </c>
      <c r="I172" s="4">
        <v>26</v>
      </c>
      <c r="J172" s="4">
        <v>1</v>
      </c>
      <c r="K172" s="4">
        <v>4</v>
      </c>
      <c r="L172" s="4">
        <v>0</v>
      </c>
      <c r="M172" s="6"/>
      <c r="N172" s="10">
        <f t="shared" si="12"/>
        <v>1</v>
      </c>
      <c r="O172" s="10">
        <f t="shared" si="13"/>
        <v>1</v>
      </c>
      <c r="P172" s="10">
        <f t="shared" si="14"/>
        <v>0</v>
      </c>
      <c r="Q172" s="10">
        <f t="shared" si="14"/>
        <v>0.5</v>
      </c>
      <c r="R172" s="10">
        <f t="shared" si="15"/>
        <v>0</v>
      </c>
      <c r="S172" s="10">
        <f t="shared" si="16"/>
        <v>2.5</v>
      </c>
      <c r="T172" s="10" t="str">
        <f t="shared" si="17"/>
        <v>★★½</v>
      </c>
    </row>
    <row r="173" spans="1:20" s="4" customFormat="1" ht="20" thickBot="1" x14ac:dyDescent="0.3">
      <c r="A173" s="4" t="s">
        <v>303</v>
      </c>
      <c r="B173" s="4" t="s">
        <v>29</v>
      </c>
      <c r="C173" s="4" t="s">
        <v>304</v>
      </c>
      <c r="D173" s="4" t="s">
        <v>85</v>
      </c>
      <c r="E173" s="4">
        <v>20</v>
      </c>
      <c r="F173" s="4">
        <v>1557</v>
      </c>
      <c r="G173" s="4">
        <v>245</v>
      </c>
      <c r="H173" s="5">
        <v>0.30199999999999999</v>
      </c>
      <c r="I173" s="4">
        <v>22</v>
      </c>
      <c r="J173" s="4">
        <v>2</v>
      </c>
      <c r="K173" s="4">
        <v>4</v>
      </c>
      <c r="L173" s="4">
        <v>0</v>
      </c>
      <c r="M173" s="6"/>
      <c r="N173" s="10">
        <f t="shared" si="12"/>
        <v>1</v>
      </c>
      <c r="O173" s="10">
        <f t="shared" si="13"/>
        <v>0</v>
      </c>
      <c r="P173" s="10">
        <f t="shared" si="14"/>
        <v>0</v>
      </c>
      <c r="Q173" s="10">
        <f t="shared" si="14"/>
        <v>0.5</v>
      </c>
      <c r="R173" s="10">
        <f t="shared" si="15"/>
        <v>0</v>
      </c>
      <c r="S173" s="10">
        <f t="shared" si="16"/>
        <v>1.5</v>
      </c>
      <c r="T173" s="10" t="str">
        <f t="shared" si="17"/>
        <v>★½</v>
      </c>
    </row>
    <row r="174" spans="1:20" s="4" customFormat="1" ht="20" thickBot="1" x14ac:dyDescent="0.3">
      <c r="A174" s="4" t="s">
        <v>305</v>
      </c>
      <c r="B174" s="4" t="s">
        <v>20</v>
      </c>
      <c r="C174" s="4" t="s">
        <v>109</v>
      </c>
      <c r="D174" s="4" t="s">
        <v>39</v>
      </c>
      <c r="E174" s="4">
        <v>27</v>
      </c>
      <c r="F174" s="4">
        <v>2826</v>
      </c>
      <c r="G174" s="4">
        <v>139</v>
      </c>
      <c r="H174" s="5">
        <v>0.45300000000000001</v>
      </c>
      <c r="I174" s="4">
        <v>24</v>
      </c>
      <c r="J174" s="4">
        <v>4</v>
      </c>
      <c r="K174" s="4">
        <v>5</v>
      </c>
      <c r="L174" s="4">
        <v>1</v>
      </c>
      <c r="M174" s="6"/>
      <c r="N174" s="10">
        <f t="shared" si="12"/>
        <v>1</v>
      </c>
      <c r="O174" s="10">
        <f t="shared" si="13"/>
        <v>0</v>
      </c>
      <c r="P174" s="10">
        <f t="shared" si="14"/>
        <v>0</v>
      </c>
      <c r="Q174" s="10">
        <f t="shared" si="14"/>
        <v>1</v>
      </c>
      <c r="R174" s="10">
        <f t="shared" si="15"/>
        <v>0</v>
      </c>
      <c r="S174" s="10">
        <f t="shared" si="16"/>
        <v>2</v>
      </c>
      <c r="T174" s="10" t="str">
        <f t="shared" si="17"/>
        <v>★★</v>
      </c>
    </row>
    <row r="175" spans="1:20" s="4" customFormat="1" ht="20" thickBot="1" x14ac:dyDescent="0.3">
      <c r="A175" s="4" t="s">
        <v>306</v>
      </c>
      <c r="B175" s="4" t="s">
        <v>29</v>
      </c>
      <c r="C175" s="4" t="s">
        <v>109</v>
      </c>
      <c r="D175" s="4" t="s">
        <v>35</v>
      </c>
      <c r="E175" s="4">
        <v>27</v>
      </c>
      <c r="F175" s="4">
        <v>2061</v>
      </c>
      <c r="G175" s="4">
        <v>154</v>
      </c>
      <c r="H175" s="5">
        <v>0.33100000000000002</v>
      </c>
      <c r="I175" s="4">
        <v>50</v>
      </c>
      <c r="J175" s="4">
        <v>1</v>
      </c>
      <c r="K175" s="4">
        <v>5</v>
      </c>
      <c r="L175" s="4">
        <v>0</v>
      </c>
      <c r="M175" s="6"/>
      <c r="N175" s="10">
        <f t="shared" si="12"/>
        <v>1</v>
      </c>
      <c r="O175" s="10">
        <f t="shared" si="13"/>
        <v>0</v>
      </c>
      <c r="P175" s="10">
        <f t="shared" si="14"/>
        <v>1</v>
      </c>
      <c r="Q175" s="10">
        <f t="shared" si="14"/>
        <v>0.5</v>
      </c>
      <c r="R175" s="10">
        <f t="shared" si="15"/>
        <v>0</v>
      </c>
      <c r="S175" s="10">
        <f t="shared" si="16"/>
        <v>2.5</v>
      </c>
      <c r="T175" s="10" t="str">
        <f t="shared" si="17"/>
        <v>★★½</v>
      </c>
    </row>
    <row r="176" spans="1:20" s="4" customFormat="1" ht="20" thickBot="1" x14ac:dyDescent="0.3">
      <c r="A176" s="4" t="s">
        <v>307</v>
      </c>
      <c r="B176" s="4" t="s">
        <v>17</v>
      </c>
      <c r="C176" s="4" t="s">
        <v>116</v>
      </c>
      <c r="D176" s="4" t="s">
        <v>50</v>
      </c>
      <c r="E176" s="4">
        <v>28</v>
      </c>
      <c r="F176" s="4">
        <v>2268</v>
      </c>
      <c r="G176" s="4">
        <v>650</v>
      </c>
      <c r="H176" s="5">
        <v>0.249</v>
      </c>
      <c r="I176" s="4">
        <v>41</v>
      </c>
      <c r="J176" s="4">
        <v>1</v>
      </c>
      <c r="K176" s="4">
        <v>5</v>
      </c>
      <c r="L176" s="4">
        <v>0</v>
      </c>
      <c r="M176" s="6"/>
      <c r="N176" s="10">
        <f t="shared" si="12"/>
        <v>1</v>
      </c>
      <c r="O176" s="10">
        <f t="shared" si="13"/>
        <v>0</v>
      </c>
      <c r="P176" s="10">
        <f t="shared" si="14"/>
        <v>1</v>
      </c>
      <c r="Q176" s="10">
        <f t="shared" si="14"/>
        <v>0.5</v>
      </c>
      <c r="R176" s="10">
        <f t="shared" si="15"/>
        <v>0</v>
      </c>
      <c r="S176" s="10">
        <f t="shared" si="16"/>
        <v>2.5</v>
      </c>
      <c r="T176" s="10" t="str">
        <f t="shared" si="17"/>
        <v>★★½</v>
      </c>
    </row>
    <row r="177" spans="1:20" s="4" customFormat="1" ht="20" thickBot="1" x14ac:dyDescent="0.3">
      <c r="A177" s="4" t="s">
        <v>308</v>
      </c>
      <c r="B177" s="4" t="s">
        <v>29</v>
      </c>
      <c r="C177" s="4" t="s">
        <v>116</v>
      </c>
      <c r="D177" s="4" t="s">
        <v>53</v>
      </c>
      <c r="E177" s="4">
        <v>34</v>
      </c>
      <c r="F177" s="4">
        <v>1548</v>
      </c>
      <c r="G177" s="4">
        <v>348</v>
      </c>
      <c r="H177" s="5">
        <v>0.23899999999999999</v>
      </c>
      <c r="I177" s="4">
        <v>32</v>
      </c>
      <c r="J177" s="4">
        <v>2</v>
      </c>
      <c r="K177" s="4">
        <v>2</v>
      </c>
      <c r="L177" s="4">
        <v>0</v>
      </c>
      <c r="M177" s="6"/>
      <c r="N177" s="10">
        <f t="shared" si="12"/>
        <v>1</v>
      </c>
      <c r="O177" s="10">
        <f t="shared" si="13"/>
        <v>0</v>
      </c>
      <c r="P177" s="10">
        <f t="shared" si="14"/>
        <v>1</v>
      </c>
      <c r="Q177" s="10">
        <f t="shared" si="14"/>
        <v>0.5</v>
      </c>
      <c r="R177" s="10">
        <f t="shared" si="15"/>
        <v>1</v>
      </c>
      <c r="S177" s="10">
        <f t="shared" si="16"/>
        <v>3.5</v>
      </c>
      <c r="T177" s="10" t="str">
        <f t="shared" si="17"/>
        <v>★★★½</v>
      </c>
    </row>
    <row r="178" spans="1:20" s="4" customFormat="1" ht="20" thickBot="1" x14ac:dyDescent="0.3">
      <c r="A178" s="4" t="s">
        <v>309</v>
      </c>
      <c r="B178" s="4" t="s">
        <v>165</v>
      </c>
      <c r="C178" s="4" t="s">
        <v>109</v>
      </c>
      <c r="D178" s="4" t="s">
        <v>35</v>
      </c>
      <c r="E178" s="4">
        <v>23</v>
      </c>
      <c r="F178" s="4">
        <v>261</v>
      </c>
      <c r="G178" s="4">
        <v>42</v>
      </c>
      <c r="H178" s="5">
        <v>0.33300000000000002</v>
      </c>
      <c r="I178" s="4">
        <v>5</v>
      </c>
      <c r="J178" s="4">
        <v>0</v>
      </c>
      <c r="K178" s="4">
        <v>1</v>
      </c>
      <c r="L178" s="4">
        <v>0</v>
      </c>
      <c r="M178" s="6"/>
      <c r="N178" s="10">
        <f t="shared" si="12"/>
        <v>0</v>
      </c>
      <c r="O178" s="10">
        <f t="shared" si="13"/>
        <v>0</v>
      </c>
      <c r="P178" s="10">
        <f t="shared" si="14"/>
        <v>0</v>
      </c>
      <c r="Q178" s="10">
        <f t="shared" si="14"/>
        <v>0.5</v>
      </c>
      <c r="R178" s="10">
        <f t="shared" si="15"/>
        <v>1</v>
      </c>
      <c r="S178" s="10">
        <f t="shared" si="16"/>
        <v>1.5</v>
      </c>
      <c r="T178" s="10" t="str">
        <f t="shared" si="17"/>
        <v>★½</v>
      </c>
    </row>
    <row r="179" spans="1:20" s="4" customFormat="1" ht="20" thickBot="1" x14ac:dyDescent="0.3">
      <c r="A179" s="4" t="s">
        <v>310</v>
      </c>
      <c r="B179" s="4" t="s">
        <v>75</v>
      </c>
      <c r="C179" s="4" t="s">
        <v>109</v>
      </c>
      <c r="D179" s="4" t="s">
        <v>47</v>
      </c>
      <c r="E179" s="4">
        <v>27</v>
      </c>
      <c r="F179" s="4">
        <v>2358</v>
      </c>
      <c r="G179" s="4">
        <v>155</v>
      </c>
      <c r="H179" s="5">
        <v>0.374</v>
      </c>
      <c r="I179" s="4">
        <v>42</v>
      </c>
      <c r="J179" s="4">
        <v>2</v>
      </c>
      <c r="K179" s="4">
        <v>4</v>
      </c>
      <c r="L179" s="4">
        <v>0</v>
      </c>
      <c r="M179" s="6"/>
      <c r="N179" s="10">
        <f t="shared" si="12"/>
        <v>1</v>
      </c>
      <c r="O179" s="10">
        <f t="shared" si="13"/>
        <v>0</v>
      </c>
      <c r="P179" s="10">
        <f t="shared" si="14"/>
        <v>1</v>
      </c>
      <c r="Q179" s="10">
        <f t="shared" si="14"/>
        <v>0.5</v>
      </c>
      <c r="R179" s="10">
        <f t="shared" si="15"/>
        <v>0</v>
      </c>
      <c r="S179" s="10">
        <f t="shared" si="16"/>
        <v>2.5</v>
      </c>
      <c r="T179" s="10" t="str">
        <f t="shared" si="17"/>
        <v>★★½</v>
      </c>
    </row>
    <row r="180" spans="1:20" s="4" customFormat="1" ht="20" thickBot="1" x14ac:dyDescent="0.3">
      <c r="A180" s="4" t="s">
        <v>311</v>
      </c>
      <c r="B180" s="4" t="s">
        <v>29</v>
      </c>
      <c r="C180" s="4" t="s">
        <v>109</v>
      </c>
      <c r="D180" s="4" t="s">
        <v>33</v>
      </c>
      <c r="E180" s="4">
        <v>18</v>
      </c>
      <c r="F180" s="4">
        <v>2205</v>
      </c>
      <c r="G180" s="4">
        <v>332</v>
      </c>
      <c r="H180" s="5">
        <v>0.33100000000000002</v>
      </c>
      <c r="I180" s="4">
        <v>45</v>
      </c>
      <c r="J180" s="4">
        <v>2</v>
      </c>
      <c r="K180" s="4">
        <v>2</v>
      </c>
      <c r="L180" s="4">
        <v>0</v>
      </c>
      <c r="M180" s="6"/>
      <c r="N180" s="10">
        <f t="shared" si="12"/>
        <v>1</v>
      </c>
      <c r="O180" s="10">
        <f t="shared" si="13"/>
        <v>1</v>
      </c>
      <c r="P180" s="10">
        <f t="shared" si="14"/>
        <v>1</v>
      </c>
      <c r="Q180" s="10">
        <f t="shared" si="14"/>
        <v>0.5</v>
      </c>
      <c r="R180" s="10">
        <f t="shared" si="15"/>
        <v>1</v>
      </c>
      <c r="S180" s="10">
        <f t="shared" si="16"/>
        <v>4.5</v>
      </c>
      <c r="T180" s="10" t="str">
        <f t="shared" si="17"/>
        <v>★★★★½</v>
      </c>
    </row>
    <row r="181" spans="1:20" s="4" customFormat="1" ht="20" thickBot="1" x14ac:dyDescent="0.3">
      <c r="A181" s="4" t="s">
        <v>312</v>
      </c>
      <c r="B181" s="4" t="s">
        <v>20</v>
      </c>
      <c r="C181" s="4" t="s">
        <v>109</v>
      </c>
      <c r="D181" s="4" t="s">
        <v>58</v>
      </c>
      <c r="E181" s="4">
        <v>27</v>
      </c>
      <c r="F181" s="4">
        <v>2340</v>
      </c>
      <c r="G181" s="4">
        <v>361</v>
      </c>
      <c r="H181" s="5">
        <v>0.38800000000000001</v>
      </c>
      <c r="I181" s="4">
        <v>61</v>
      </c>
      <c r="J181" s="4">
        <v>3</v>
      </c>
      <c r="K181" s="4">
        <v>7</v>
      </c>
      <c r="L181" s="4">
        <v>0</v>
      </c>
      <c r="M181" s="6"/>
      <c r="N181" s="10">
        <f t="shared" si="12"/>
        <v>1</v>
      </c>
      <c r="O181" s="10">
        <f t="shared" si="13"/>
        <v>1</v>
      </c>
      <c r="P181" s="10">
        <f t="shared" si="14"/>
        <v>1</v>
      </c>
      <c r="Q181" s="10">
        <f t="shared" si="14"/>
        <v>1</v>
      </c>
      <c r="R181" s="10">
        <f t="shared" si="15"/>
        <v>0</v>
      </c>
      <c r="S181" s="10">
        <f t="shared" si="16"/>
        <v>4</v>
      </c>
      <c r="T181" s="10" t="str">
        <f t="shared" si="17"/>
        <v>★★★★</v>
      </c>
    </row>
    <row r="182" spans="1:20" s="4" customFormat="1" ht="20" thickBot="1" x14ac:dyDescent="0.3">
      <c r="A182" s="4" t="s">
        <v>313</v>
      </c>
      <c r="B182" s="4" t="s">
        <v>29</v>
      </c>
      <c r="C182" s="4" t="s">
        <v>228</v>
      </c>
      <c r="D182" s="4" t="s">
        <v>21</v>
      </c>
      <c r="E182" s="4">
        <v>25</v>
      </c>
      <c r="F182" s="4">
        <v>1395</v>
      </c>
      <c r="G182" s="4">
        <v>251</v>
      </c>
      <c r="H182" s="5">
        <v>0.33500000000000002</v>
      </c>
      <c r="I182" s="4">
        <v>21</v>
      </c>
      <c r="J182" s="4">
        <v>2</v>
      </c>
      <c r="K182" s="4">
        <v>1</v>
      </c>
      <c r="L182" s="4">
        <v>0</v>
      </c>
      <c r="M182" s="6"/>
      <c r="N182" s="10">
        <f t="shared" si="12"/>
        <v>0</v>
      </c>
      <c r="O182" s="10">
        <f t="shared" si="13"/>
        <v>1</v>
      </c>
      <c r="P182" s="10">
        <f t="shared" si="14"/>
        <v>0</v>
      </c>
      <c r="Q182" s="10">
        <f t="shared" si="14"/>
        <v>0.5</v>
      </c>
      <c r="R182" s="10">
        <f t="shared" si="15"/>
        <v>1</v>
      </c>
      <c r="S182" s="10">
        <f t="shared" si="16"/>
        <v>2.5</v>
      </c>
      <c r="T182" s="10" t="str">
        <f t="shared" si="17"/>
        <v>★★½</v>
      </c>
    </row>
    <row r="183" spans="1:20" s="4" customFormat="1" ht="20" thickBot="1" x14ac:dyDescent="0.3">
      <c r="A183" s="4" t="s">
        <v>314</v>
      </c>
      <c r="B183" s="4" t="s">
        <v>55</v>
      </c>
      <c r="C183" s="4" t="s">
        <v>109</v>
      </c>
      <c r="D183" s="4" t="s">
        <v>53</v>
      </c>
      <c r="E183" s="4">
        <v>30</v>
      </c>
      <c r="F183" s="4">
        <v>413.99999999999994</v>
      </c>
      <c r="G183" s="4">
        <v>42</v>
      </c>
      <c r="H183" s="7">
        <v>0.31</v>
      </c>
      <c r="I183" s="4">
        <v>8</v>
      </c>
      <c r="J183" s="4">
        <v>0</v>
      </c>
      <c r="K183" s="4">
        <v>1</v>
      </c>
      <c r="L183" s="4">
        <v>0</v>
      </c>
      <c r="M183" s="6"/>
      <c r="N183" s="10">
        <f t="shared" si="12"/>
        <v>0</v>
      </c>
      <c r="O183" s="10">
        <f t="shared" si="13"/>
        <v>0</v>
      </c>
      <c r="P183" s="10">
        <f t="shared" si="14"/>
        <v>0</v>
      </c>
      <c r="Q183" s="10">
        <f t="shared" si="14"/>
        <v>0.5</v>
      </c>
      <c r="R183" s="10">
        <f t="shared" si="15"/>
        <v>1</v>
      </c>
      <c r="S183" s="10">
        <f t="shared" si="16"/>
        <v>1.5</v>
      </c>
      <c r="T183" s="10" t="str">
        <f t="shared" si="17"/>
        <v>★½</v>
      </c>
    </row>
    <row r="184" spans="1:20" s="4" customFormat="1" ht="20" thickBot="1" x14ac:dyDescent="0.3">
      <c r="A184" s="4" t="s">
        <v>315</v>
      </c>
      <c r="B184" s="4" t="s">
        <v>29</v>
      </c>
      <c r="C184" s="4" t="s">
        <v>116</v>
      </c>
      <c r="D184" s="4" t="s">
        <v>35</v>
      </c>
      <c r="E184" s="4">
        <v>23</v>
      </c>
      <c r="F184" s="4">
        <v>1467</v>
      </c>
      <c r="G184" s="4">
        <v>427</v>
      </c>
      <c r="H184" s="5">
        <v>0.253</v>
      </c>
      <c r="I184" s="4">
        <v>27</v>
      </c>
      <c r="J184" s="4">
        <v>2</v>
      </c>
      <c r="K184" s="4">
        <v>1</v>
      </c>
      <c r="L184" s="4">
        <v>0</v>
      </c>
      <c r="M184" s="6"/>
      <c r="N184" s="10">
        <f t="shared" si="12"/>
        <v>1</v>
      </c>
      <c r="O184" s="10">
        <f t="shared" si="13"/>
        <v>0</v>
      </c>
      <c r="P184" s="10">
        <f t="shared" si="14"/>
        <v>0</v>
      </c>
      <c r="Q184" s="10">
        <f t="shared" si="14"/>
        <v>0.5</v>
      </c>
      <c r="R184" s="10">
        <f t="shared" si="15"/>
        <v>1</v>
      </c>
      <c r="S184" s="10">
        <f t="shared" si="16"/>
        <v>2.5</v>
      </c>
      <c r="T184" s="10" t="str">
        <f t="shared" si="17"/>
        <v>★★½</v>
      </c>
    </row>
    <row r="185" spans="1:20" s="4" customFormat="1" ht="20" thickBot="1" x14ac:dyDescent="0.3">
      <c r="A185" s="4" t="s">
        <v>316</v>
      </c>
      <c r="B185" s="4" t="s">
        <v>317</v>
      </c>
      <c r="C185" s="4" t="s">
        <v>116</v>
      </c>
      <c r="D185" s="4" t="s">
        <v>24</v>
      </c>
      <c r="E185" s="4">
        <v>22</v>
      </c>
      <c r="F185" s="4">
        <v>1413</v>
      </c>
      <c r="G185" s="4">
        <v>345</v>
      </c>
      <c r="H185" s="5">
        <v>0.30399999999999999</v>
      </c>
      <c r="I185" s="4">
        <v>23</v>
      </c>
      <c r="J185" s="4">
        <v>0</v>
      </c>
      <c r="K185" s="4">
        <v>6</v>
      </c>
      <c r="L185" s="4">
        <v>0</v>
      </c>
      <c r="M185" s="6"/>
      <c r="N185" s="10">
        <f t="shared" si="12"/>
        <v>0</v>
      </c>
      <c r="O185" s="10">
        <f t="shared" si="13"/>
        <v>0</v>
      </c>
      <c r="P185" s="10">
        <f t="shared" si="14"/>
        <v>0</v>
      </c>
      <c r="Q185" s="10">
        <f t="shared" si="14"/>
        <v>0.5</v>
      </c>
      <c r="R185" s="10">
        <f t="shared" si="15"/>
        <v>0</v>
      </c>
      <c r="S185" s="10">
        <f t="shared" si="16"/>
        <v>0.5</v>
      </c>
      <c r="T185" s="10" t="str">
        <f t="shared" si="17"/>
        <v>☆½</v>
      </c>
    </row>
    <row r="186" spans="1:20" s="4" customFormat="1" ht="20" thickBot="1" x14ac:dyDescent="0.3">
      <c r="A186" s="4" t="s">
        <v>318</v>
      </c>
      <c r="B186" s="4" t="s">
        <v>29</v>
      </c>
      <c r="C186" s="4" t="s">
        <v>109</v>
      </c>
      <c r="D186" s="4" t="s">
        <v>53</v>
      </c>
      <c r="E186" s="4">
        <v>32</v>
      </c>
      <c r="F186" s="4">
        <v>1773</v>
      </c>
      <c r="G186" s="4">
        <v>188</v>
      </c>
      <c r="H186" s="5">
        <v>0.32400000000000001</v>
      </c>
      <c r="I186" s="4">
        <v>45</v>
      </c>
      <c r="J186" s="4">
        <v>3</v>
      </c>
      <c r="K186" s="4">
        <v>3</v>
      </c>
      <c r="L186" s="4">
        <v>1</v>
      </c>
      <c r="M186" s="6"/>
      <c r="N186" s="10">
        <f t="shared" si="12"/>
        <v>1</v>
      </c>
      <c r="O186" s="10">
        <f t="shared" si="13"/>
        <v>0.5</v>
      </c>
      <c r="P186" s="10">
        <f t="shared" si="14"/>
        <v>1</v>
      </c>
      <c r="Q186" s="10">
        <f t="shared" si="14"/>
        <v>1</v>
      </c>
      <c r="R186" s="10">
        <f t="shared" si="15"/>
        <v>0</v>
      </c>
      <c r="S186" s="10">
        <f t="shared" si="16"/>
        <v>3.5</v>
      </c>
      <c r="T186" s="10" t="str">
        <f t="shared" si="17"/>
        <v>★★★½</v>
      </c>
    </row>
    <row r="187" spans="1:20" s="4" customFormat="1" ht="20" thickBot="1" x14ac:dyDescent="0.3">
      <c r="A187" s="4" t="s">
        <v>319</v>
      </c>
      <c r="B187" s="4" t="s">
        <v>14</v>
      </c>
      <c r="C187" s="4" t="s">
        <v>116</v>
      </c>
      <c r="D187" s="4" t="s">
        <v>69</v>
      </c>
      <c r="E187" s="4">
        <v>23</v>
      </c>
      <c r="F187" s="4">
        <v>2718</v>
      </c>
      <c r="G187" s="4">
        <v>524</v>
      </c>
      <c r="H187" s="5">
        <v>0.29799999999999999</v>
      </c>
      <c r="I187" s="4">
        <v>44</v>
      </c>
      <c r="J187" s="4">
        <v>5</v>
      </c>
      <c r="K187" s="4">
        <v>7</v>
      </c>
      <c r="L187" s="4">
        <v>0</v>
      </c>
      <c r="M187" s="6"/>
      <c r="N187" s="10">
        <f t="shared" si="12"/>
        <v>1</v>
      </c>
      <c r="O187" s="10">
        <f t="shared" si="13"/>
        <v>0</v>
      </c>
      <c r="P187" s="10">
        <f t="shared" si="14"/>
        <v>1</v>
      </c>
      <c r="Q187" s="10">
        <f t="shared" si="14"/>
        <v>1</v>
      </c>
      <c r="R187" s="10">
        <f t="shared" si="15"/>
        <v>0</v>
      </c>
      <c r="S187" s="10">
        <f t="shared" si="16"/>
        <v>3</v>
      </c>
      <c r="T187" s="10" t="str">
        <f t="shared" si="17"/>
        <v>★★★</v>
      </c>
    </row>
    <row r="188" spans="1:20" s="4" customFormat="1" ht="20" thickBot="1" x14ac:dyDescent="0.3">
      <c r="A188" s="4" t="s">
        <v>320</v>
      </c>
      <c r="B188" s="4" t="s">
        <v>14</v>
      </c>
      <c r="C188" s="4" t="s">
        <v>109</v>
      </c>
      <c r="D188" s="4" t="s">
        <v>33</v>
      </c>
      <c r="E188" s="4">
        <v>24</v>
      </c>
      <c r="F188" s="4">
        <v>909</v>
      </c>
      <c r="G188" s="4">
        <v>99</v>
      </c>
      <c r="H188" s="5">
        <v>0.434</v>
      </c>
      <c r="I188" s="4">
        <v>28</v>
      </c>
      <c r="J188" s="4">
        <v>0</v>
      </c>
      <c r="K188" s="4">
        <v>2</v>
      </c>
      <c r="L188" s="4">
        <v>0</v>
      </c>
      <c r="M188" s="6"/>
      <c r="N188" s="10">
        <f t="shared" si="12"/>
        <v>0</v>
      </c>
      <c r="O188" s="10">
        <f t="shared" si="13"/>
        <v>0</v>
      </c>
      <c r="P188" s="10">
        <f t="shared" si="14"/>
        <v>0.5</v>
      </c>
      <c r="Q188" s="10">
        <f t="shared" si="14"/>
        <v>0.5</v>
      </c>
      <c r="R188" s="10">
        <f t="shared" si="15"/>
        <v>1</v>
      </c>
      <c r="S188" s="10">
        <f t="shared" si="16"/>
        <v>2</v>
      </c>
      <c r="T188" s="10" t="str">
        <f t="shared" si="17"/>
        <v>★★</v>
      </c>
    </row>
    <row r="189" spans="1:20" s="4" customFormat="1" ht="20" thickBot="1" x14ac:dyDescent="0.3">
      <c r="A189" s="4" t="s">
        <v>321</v>
      </c>
      <c r="B189" s="4" t="s">
        <v>29</v>
      </c>
      <c r="C189" s="4" t="s">
        <v>109</v>
      </c>
      <c r="D189" s="4" t="s">
        <v>47</v>
      </c>
      <c r="E189" s="4">
        <v>28</v>
      </c>
      <c r="F189" s="4">
        <v>2511</v>
      </c>
      <c r="G189" s="4">
        <v>173</v>
      </c>
      <c r="H189" s="5">
        <v>0.376</v>
      </c>
      <c r="I189" s="4">
        <v>46</v>
      </c>
      <c r="J189" s="4">
        <v>1</v>
      </c>
      <c r="K189" s="4">
        <v>9</v>
      </c>
      <c r="L189" s="4">
        <v>1</v>
      </c>
      <c r="M189" s="6"/>
      <c r="N189" s="10">
        <f t="shared" si="12"/>
        <v>1</v>
      </c>
      <c r="O189" s="10">
        <f t="shared" si="13"/>
        <v>0</v>
      </c>
      <c r="P189" s="10">
        <f t="shared" si="14"/>
        <v>1</v>
      </c>
      <c r="Q189" s="10">
        <f t="shared" si="14"/>
        <v>0.5</v>
      </c>
      <c r="R189" s="10">
        <f t="shared" si="15"/>
        <v>0</v>
      </c>
      <c r="S189" s="10">
        <f t="shared" si="16"/>
        <v>2.5</v>
      </c>
      <c r="T189" s="10" t="str">
        <f t="shared" si="17"/>
        <v>★★½</v>
      </c>
    </row>
    <row r="190" spans="1:20" s="4" customFormat="1" ht="20" thickBot="1" x14ac:dyDescent="0.3">
      <c r="A190" s="4" t="s">
        <v>322</v>
      </c>
      <c r="B190" s="4" t="s">
        <v>29</v>
      </c>
      <c r="C190" s="4" t="s">
        <v>116</v>
      </c>
      <c r="D190" s="4" t="s">
        <v>63</v>
      </c>
      <c r="E190" s="4">
        <v>23</v>
      </c>
      <c r="F190" s="4">
        <v>270</v>
      </c>
      <c r="G190" s="4">
        <v>54</v>
      </c>
      <c r="H190" s="5">
        <v>0.315</v>
      </c>
      <c r="I190" s="4">
        <v>5</v>
      </c>
      <c r="J190" s="4">
        <v>0</v>
      </c>
      <c r="K190" s="4">
        <v>0</v>
      </c>
      <c r="L190" s="4">
        <v>0</v>
      </c>
      <c r="M190" s="6"/>
      <c r="N190" s="10">
        <f t="shared" si="12"/>
        <v>0</v>
      </c>
      <c r="O190" s="10">
        <f t="shared" si="13"/>
        <v>0</v>
      </c>
      <c r="P190" s="10">
        <f t="shared" si="14"/>
        <v>0</v>
      </c>
      <c r="Q190" s="10">
        <f t="shared" si="14"/>
        <v>0.5</v>
      </c>
      <c r="R190" s="10">
        <f t="shared" si="15"/>
        <v>1</v>
      </c>
      <c r="S190" s="10">
        <f t="shared" si="16"/>
        <v>1.5</v>
      </c>
      <c r="T190" s="10" t="str">
        <f t="shared" si="17"/>
        <v>★½</v>
      </c>
    </row>
    <row r="191" spans="1:20" s="4" customFormat="1" ht="20" thickBot="1" x14ac:dyDescent="0.3">
      <c r="A191" s="4" t="s">
        <v>323</v>
      </c>
      <c r="B191" s="4" t="s">
        <v>20</v>
      </c>
      <c r="C191" s="4" t="s">
        <v>109</v>
      </c>
      <c r="D191" s="4" t="s">
        <v>35</v>
      </c>
      <c r="E191" s="4">
        <v>27</v>
      </c>
      <c r="F191" s="4">
        <v>1260</v>
      </c>
      <c r="G191" s="4">
        <v>175</v>
      </c>
      <c r="H191" s="7">
        <v>0.32</v>
      </c>
      <c r="I191" s="4">
        <v>28</v>
      </c>
      <c r="J191" s="4">
        <v>3</v>
      </c>
      <c r="K191" s="4">
        <v>5</v>
      </c>
      <c r="L191" s="4">
        <v>0</v>
      </c>
      <c r="M191" s="6"/>
      <c r="N191" s="10">
        <f t="shared" si="12"/>
        <v>0</v>
      </c>
      <c r="O191" s="10">
        <f t="shared" si="13"/>
        <v>0.5</v>
      </c>
      <c r="P191" s="10">
        <f t="shared" si="14"/>
        <v>0.5</v>
      </c>
      <c r="Q191" s="10">
        <f t="shared" si="14"/>
        <v>1</v>
      </c>
      <c r="R191" s="10">
        <f t="shared" si="15"/>
        <v>0</v>
      </c>
      <c r="S191" s="10">
        <f t="shared" si="16"/>
        <v>2</v>
      </c>
      <c r="T191" s="10" t="str">
        <f t="shared" si="17"/>
        <v>★★</v>
      </c>
    </row>
    <row r="192" spans="1:20" s="4" customFormat="1" ht="20" thickBot="1" x14ac:dyDescent="0.3">
      <c r="A192" s="4" t="s">
        <v>324</v>
      </c>
      <c r="B192" s="4" t="s">
        <v>14</v>
      </c>
      <c r="C192" s="4" t="s">
        <v>109</v>
      </c>
      <c r="D192" s="4" t="s">
        <v>81</v>
      </c>
      <c r="E192" s="4">
        <v>32</v>
      </c>
      <c r="F192" s="4">
        <v>1449.0000000000002</v>
      </c>
      <c r="G192" s="4">
        <v>241</v>
      </c>
      <c r="H192" s="5">
        <v>0.27800000000000002</v>
      </c>
      <c r="I192" s="4">
        <v>42</v>
      </c>
      <c r="J192" s="4">
        <v>0</v>
      </c>
      <c r="K192" s="4">
        <v>3</v>
      </c>
      <c r="L192" s="4">
        <v>0</v>
      </c>
      <c r="M192" s="6"/>
      <c r="N192" s="10">
        <f t="shared" si="12"/>
        <v>1</v>
      </c>
      <c r="O192" s="10">
        <f t="shared" si="13"/>
        <v>0</v>
      </c>
      <c r="P192" s="10">
        <f t="shared" si="14"/>
        <v>1</v>
      </c>
      <c r="Q192" s="10">
        <f t="shared" si="14"/>
        <v>0.5</v>
      </c>
      <c r="R192" s="10">
        <f t="shared" si="15"/>
        <v>0</v>
      </c>
      <c r="S192" s="10">
        <f t="shared" si="16"/>
        <v>2.5</v>
      </c>
      <c r="T192" s="10" t="str">
        <f t="shared" si="17"/>
        <v>★★½</v>
      </c>
    </row>
    <row r="193" spans="1:20" s="4" customFormat="1" ht="20" thickBot="1" x14ac:dyDescent="0.3">
      <c r="A193" s="4" t="s">
        <v>325</v>
      </c>
      <c r="B193" s="4" t="s">
        <v>29</v>
      </c>
      <c r="C193" s="4" t="s">
        <v>304</v>
      </c>
      <c r="D193" s="4" t="s">
        <v>85</v>
      </c>
      <c r="E193" s="4">
        <v>27</v>
      </c>
      <c r="F193" s="4">
        <v>1745.9999999999998</v>
      </c>
      <c r="G193" s="4">
        <v>260</v>
      </c>
      <c r="H193" s="5">
        <v>0.27700000000000002</v>
      </c>
      <c r="I193" s="4">
        <v>33</v>
      </c>
      <c r="J193" s="4">
        <v>2</v>
      </c>
      <c r="K193" s="4">
        <v>1</v>
      </c>
      <c r="L193" s="4">
        <v>0</v>
      </c>
      <c r="M193" s="6"/>
      <c r="N193" s="10">
        <f t="shared" si="12"/>
        <v>1</v>
      </c>
      <c r="O193" s="10">
        <f t="shared" si="13"/>
        <v>0</v>
      </c>
      <c r="P193" s="10">
        <f t="shared" si="14"/>
        <v>1</v>
      </c>
      <c r="Q193" s="10">
        <f t="shared" si="14"/>
        <v>0.5</v>
      </c>
      <c r="R193" s="10">
        <f t="shared" si="15"/>
        <v>1</v>
      </c>
      <c r="S193" s="10">
        <f t="shared" si="16"/>
        <v>3.5</v>
      </c>
      <c r="T193" s="10" t="str">
        <f t="shared" si="17"/>
        <v>★★★½</v>
      </c>
    </row>
    <row r="194" spans="1:20" s="4" customFormat="1" ht="20" thickBot="1" x14ac:dyDescent="0.3">
      <c r="A194" s="4" t="s">
        <v>326</v>
      </c>
      <c r="B194" s="4" t="s">
        <v>20</v>
      </c>
      <c r="C194" s="4" t="s">
        <v>109</v>
      </c>
      <c r="D194" s="4" t="s">
        <v>63</v>
      </c>
      <c r="E194" s="4">
        <v>27</v>
      </c>
      <c r="F194" s="4">
        <v>180</v>
      </c>
      <c r="G194" s="4">
        <v>19</v>
      </c>
      <c r="H194" s="5">
        <v>0.21099999999999999</v>
      </c>
      <c r="I194" s="4">
        <v>6</v>
      </c>
      <c r="J194" s="4">
        <v>0</v>
      </c>
      <c r="K194" s="4">
        <v>1</v>
      </c>
      <c r="L194" s="4">
        <v>0</v>
      </c>
      <c r="M194" s="6"/>
      <c r="N194" s="10">
        <f t="shared" si="12"/>
        <v>0</v>
      </c>
      <c r="O194" s="10">
        <f t="shared" si="13"/>
        <v>0</v>
      </c>
      <c r="P194" s="10">
        <f t="shared" si="14"/>
        <v>0</v>
      </c>
      <c r="Q194" s="10">
        <f t="shared" si="14"/>
        <v>0.5</v>
      </c>
      <c r="R194" s="10">
        <f t="shared" si="15"/>
        <v>1</v>
      </c>
      <c r="S194" s="10">
        <f t="shared" si="16"/>
        <v>1.5</v>
      </c>
      <c r="T194" s="10" t="str">
        <f t="shared" si="17"/>
        <v>★½</v>
      </c>
    </row>
    <row r="195" spans="1:20" s="4" customFormat="1" ht="20" thickBot="1" x14ac:dyDescent="0.3">
      <c r="A195" s="4" t="s">
        <v>327</v>
      </c>
      <c r="B195" s="4" t="s">
        <v>317</v>
      </c>
      <c r="C195" s="4" t="s">
        <v>109</v>
      </c>
      <c r="D195" s="4" t="s">
        <v>24</v>
      </c>
      <c r="E195" s="4">
        <v>27</v>
      </c>
      <c r="F195" s="4">
        <v>1080</v>
      </c>
      <c r="G195" s="4">
        <v>162</v>
      </c>
      <c r="H195" s="5">
        <v>0.27800000000000002</v>
      </c>
      <c r="I195" s="4">
        <v>29</v>
      </c>
      <c r="J195" s="4">
        <v>1</v>
      </c>
      <c r="K195" s="4">
        <v>0</v>
      </c>
      <c r="L195" s="4">
        <v>0</v>
      </c>
      <c r="M195" s="6"/>
      <c r="N195" s="10">
        <f t="shared" ref="N195:N258" si="18">IFERROR(_xlfn.IFS(F195&gt;=F$326,1,F195&gt;=F$325,0.5),0)</f>
        <v>0</v>
      </c>
      <c r="O195" s="10">
        <f t="shared" ref="O195:O258" si="19">IFERROR(_xlfn.IFS(AND(G195&gt;=G$326,H195&gt;=H$326),1,AND(G195&gt;=G$325,H195&gt;=H$325),0.5),0)</f>
        <v>0</v>
      </c>
      <c r="P195" s="10">
        <f t="shared" ref="P195:Q258" si="20">IFERROR(_xlfn.IFS(I195&gt;=I$326,1,I195&gt;=I$325,0.5),0)</f>
        <v>1</v>
      </c>
      <c r="Q195" s="10">
        <f t="shared" si="20"/>
        <v>0.5</v>
      </c>
      <c r="R195" s="10">
        <f t="shared" ref="R195:R258" si="21">IFERROR(_xlfn.IFS(AND(K195&lt;=K$326,L195&lt;=L$326),1,AND(K195&lt;=K$325,L195&lt;=L$325),0.5),0)</f>
        <v>1</v>
      </c>
      <c r="S195" s="10">
        <f t="shared" ref="S195:S258" si="22">SUM(N195:R195)</f>
        <v>2.5</v>
      </c>
      <c r="T195" s="10" t="str">
        <f t="shared" ref="T195:T258" si="23">_xlfn.IFS(S195=0,"☆",S195=0.5,"☆½",  S195=1,"★",S195 =1.5,"★½", S195 =2.5,"★★½", S195=2,"★★", S195=3,"★★★", S195 =3.5,"★★★½",S195=4,"★★★★", S195 =4.5,"★★★★½", S195=5,"★★★★★")</f>
        <v>★★½</v>
      </c>
    </row>
    <row r="196" spans="1:20" s="4" customFormat="1" ht="20" thickBot="1" x14ac:dyDescent="0.3">
      <c r="A196" s="4" t="s">
        <v>328</v>
      </c>
      <c r="B196" s="4" t="s">
        <v>284</v>
      </c>
      <c r="C196" s="4" t="s">
        <v>304</v>
      </c>
      <c r="D196" s="4" t="s">
        <v>18</v>
      </c>
      <c r="E196" s="4">
        <v>27</v>
      </c>
      <c r="F196" s="4">
        <v>648</v>
      </c>
      <c r="G196" s="4">
        <v>120</v>
      </c>
      <c r="H196" s="5">
        <v>0.32500000000000001</v>
      </c>
      <c r="I196" s="4">
        <v>10</v>
      </c>
      <c r="J196" s="4">
        <v>2</v>
      </c>
      <c r="K196" s="4">
        <v>1</v>
      </c>
      <c r="L196" s="4">
        <v>0</v>
      </c>
      <c r="M196" s="6"/>
      <c r="N196" s="10">
        <f t="shared" si="18"/>
        <v>0</v>
      </c>
      <c r="O196" s="10">
        <f t="shared" si="19"/>
        <v>0</v>
      </c>
      <c r="P196" s="10">
        <f t="shared" si="20"/>
        <v>0</v>
      </c>
      <c r="Q196" s="10">
        <f t="shared" si="20"/>
        <v>0.5</v>
      </c>
      <c r="R196" s="10">
        <f t="shared" si="21"/>
        <v>1</v>
      </c>
      <c r="S196" s="10">
        <f t="shared" si="22"/>
        <v>1.5</v>
      </c>
      <c r="T196" s="10" t="str">
        <f t="shared" si="23"/>
        <v>★½</v>
      </c>
    </row>
    <row r="197" spans="1:20" s="4" customFormat="1" ht="20" thickBot="1" x14ac:dyDescent="0.3">
      <c r="A197" s="4" t="s">
        <v>329</v>
      </c>
      <c r="B197" s="4" t="s">
        <v>20</v>
      </c>
      <c r="C197" s="4" t="s">
        <v>116</v>
      </c>
      <c r="D197" s="4" t="s">
        <v>47</v>
      </c>
      <c r="E197" s="4">
        <v>33</v>
      </c>
      <c r="F197" s="4">
        <v>234</v>
      </c>
      <c r="G197" s="4">
        <v>51</v>
      </c>
      <c r="H197" s="5">
        <v>0.29399999999999998</v>
      </c>
      <c r="I197" s="4">
        <v>1</v>
      </c>
      <c r="J197" s="4">
        <v>0</v>
      </c>
      <c r="K197" s="4">
        <v>0</v>
      </c>
      <c r="L197" s="4">
        <v>0</v>
      </c>
      <c r="M197" s="6"/>
      <c r="N197" s="10">
        <f t="shared" si="18"/>
        <v>0</v>
      </c>
      <c r="O197" s="10">
        <f t="shared" si="19"/>
        <v>0</v>
      </c>
      <c r="P197" s="10">
        <f t="shared" si="20"/>
        <v>0</v>
      </c>
      <c r="Q197" s="10">
        <f t="shared" si="20"/>
        <v>0.5</v>
      </c>
      <c r="R197" s="10">
        <f t="shared" si="21"/>
        <v>1</v>
      </c>
      <c r="S197" s="10">
        <f t="shared" si="22"/>
        <v>1.5</v>
      </c>
      <c r="T197" s="10" t="str">
        <f t="shared" si="23"/>
        <v>★½</v>
      </c>
    </row>
    <row r="198" spans="1:20" s="4" customFormat="1" ht="20" thickBot="1" x14ac:dyDescent="0.3">
      <c r="A198" s="4" t="s">
        <v>330</v>
      </c>
      <c r="B198" s="4" t="s">
        <v>331</v>
      </c>
      <c r="C198" s="4" t="s">
        <v>116</v>
      </c>
      <c r="D198" s="4" t="s">
        <v>47</v>
      </c>
      <c r="E198" s="4">
        <v>32</v>
      </c>
      <c r="F198" s="4">
        <v>1386</v>
      </c>
      <c r="G198" s="4">
        <v>232</v>
      </c>
      <c r="H198" s="5">
        <v>0.30199999999999999</v>
      </c>
      <c r="I198" s="4">
        <v>34</v>
      </c>
      <c r="J198" s="4">
        <v>4</v>
      </c>
      <c r="K198" s="4">
        <v>3</v>
      </c>
      <c r="L198" s="4">
        <v>0</v>
      </c>
      <c r="M198" s="6"/>
      <c r="N198" s="10">
        <f t="shared" si="18"/>
        <v>0</v>
      </c>
      <c r="O198" s="10">
        <f t="shared" si="19"/>
        <v>0</v>
      </c>
      <c r="P198" s="10">
        <f t="shared" si="20"/>
        <v>1</v>
      </c>
      <c r="Q198" s="10">
        <f t="shared" si="20"/>
        <v>1</v>
      </c>
      <c r="R198" s="10">
        <f t="shared" si="21"/>
        <v>0</v>
      </c>
      <c r="S198" s="10">
        <f t="shared" si="22"/>
        <v>2</v>
      </c>
      <c r="T198" s="10" t="str">
        <f t="shared" si="23"/>
        <v>★★</v>
      </c>
    </row>
    <row r="199" spans="1:20" s="4" customFormat="1" ht="20" thickBot="1" x14ac:dyDescent="0.3">
      <c r="A199" s="4" t="s">
        <v>332</v>
      </c>
      <c r="B199" s="4" t="s">
        <v>333</v>
      </c>
      <c r="C199" s="4" t="s">
        <v>109</v>
      </c>
      <c r="D199" s="4" t="s">
        <v>15</v>
      </c>
      <c r="E199" s="4">
        <v>29</v>
      </c>
      <c r="F199" s="4">
        <v>2790</v>
      </c>
      <c r="G199" s="4">
        <v>210</v>
      </c>
      <c r="H199" s="5">
        <v>0.42399999999999999</v>
      </c>
      <c r="I199" s="4">
        <v>38</v>
      </c>
      <c r="J199" s="4">
        <v>6</v>
      </c>
      <c r="K199" s="4">
        <v>2</v>
      </c>
      <c r="L199" s="4">
        <v>0</v>
      </c>
      <c r="M199" s="6"/>
      <c r="N199" s="10">
        <f t="shared" si="18"/>
        <v>1</v>
      </c>
      <c r="O199" s="10">
        <f t="shared" si="19"/>
        <v>0.5</v>
      </c>
      <c r="P199" s="10">
        <f t="shared" si="20"/>
        <v>1</v>
      </c>
      <c r="Q199" s="10">
        <f t="shared" si="20"/>
        <v>1</v>
      </c>
      <c r="R199" s="10">
        <f t="shared" si="21"/>
        <v>1</v>
      </c>
      <c r="S199" s="10">
        <f t="shared" si="22"/>
        <v>4.5</v>
      </c>
      <c r="T199" s="10" t="str">
        <f t="shared" si="23"/>
        <v>★★★★½</v>
      </c>
    </row>
    <row r="200" spans="1:20" s="4" customFormat="1" ht="20" thickBot="1" x14ac:dyDescent="0.3">
      <c r="A200" s="4" t="s">
        <v>334</v>
      </c>
      <c r="B200" s="4" t="s">
        <v>127</v>
      </c>
      <c r="C200" s="4" t="s">
        <v>116</v>
      </c>
      <c r="D200" s="4" t="s">
        <v>30</v>
      </c>
      <c r="E200" s="4">
        <v>33</v>
      </c>
      <c r="F200" s="4">
        <v>1440</v>
      </c>
      <c r="G200" s="4">
        <v>376</v>
      </c>
      <c r="H200" s="5">
        <v>0.34300000000000003</v>
      </c>
      <c r="I200" s="4">
        <v>34</v>
      </c>
      <c r="J200" s="4">
        <v>3</v>
      </c>
      <c r="K200" s="4">
        <v>4</v>
      </c>
      <c r="L200" s="4">
        <v>0</v>
      </c>
      <c r="M200" s="6"/>
      <c r="N200" s="10">
        <f t="shared" si="18"/>
        <v>0.5</v>
      </c>
      <c r="O200" s="10">
        <f t="shared" si="19"/>
        <v>1</v>
      </c>
      <c r="P200" s="10">
        <f t="shared" si="20"/>
        <v>1</v>
      </c>
      <c r="Q200" s="10">
        <f t="shared" si="20"/>
        <v>1</v>
      </c>
      <c r="R200" s="10">
        <f t="shared" si="21"/>
        <v>0</v>
      </c>
      <c r="S200" s="10">
        <f t="shared" si="22"/>
        <v>3.5</v>
      </c>
      <c r="T200" s="10" t="str">
        <f t="shared" si="23"/>
        <v>★★★½</v>
      </c>
    </row>
    <row r="201" spans="1:20" s="4" customFormat="1" ht="20" thickBot="1" x14ac:dyDescent="0.3">
      <c r="A201" s="4" t="s">
        <v>335</v>
      </c>
      <c r="B201" s="4" t="s">
        <v>127</v>
      </c>
      <c r="C201" s="4" t="s">
        <v>116</v>
      </c>
      <c r="D201" s="4" t="s">
        <v>69</v>
      </c>
      <c r="E201" s="4">
        <v>26</v>
      </c>
      <c r="F201" s="4">
        <v>3086.9999999999995</v>
      </c>
      <c r="G201" s="4">
        <v>560</v>
      </c>
      <c r="H201" s="5">
        <v>0.311</v>
      </c>
      <c r="I201" s="4">
        <v>61</v>
      </c>
      <c r="J201" s="4">
        <v>7</v>
      </c>
      <c r="K201" s="4">
        <v>8</v>
      </c>
      <c r="L201" s="4">
        <v>0</v>
      </c>
      <c r="M201" s="6"/>
      <c r="N201" s="10">
        <f t="shared" si="18"/>
        <v>1</v>
      </c>
      <c r="O201" s="10">
        <f t="shared" si="19"/>
        <v>0</v>
      </c>
      <c r="P201" s="10">
        <f t="shared" si="20"/>
        <v>1</v>
      </c>
      <c r="Q201" s="10">
        <f t="shared" si="20"/>
        <v>1</v>
      </c>
      <c r="R201" s="10">
        <f t="shared" si="21"/>
        <v>0</v>
      </c>
      <c r="S201" s="10">
        <f t="shared" si="22"/>
        <v>3</v>
      </c>
      <c r="T201" s="10" t="str">
        <f t="shared" si="23"/>
        <v>★★★</v>
      </c>
    </row>
    <row r="202" spans="1:20" s="4" customFormat="1" ht="20" thickBot="1" x14ac:dyDescent="0.3">
      <c r="A202" s="4" t="s">
        <v>336</v>
      </c>
      <c r="B202" s="4" t="s">
        <v>127</v>
      </c>
      <c r="C202" s="4" t="s">
        <v>116</v>
      </c>
      <c r="D202" s="4" t="s">
        <v>58</v>
      </c>
      <c r="E202" s="4">
        <v>18</v>
      </c>
      <c r="F202" s="4">
        <v>0</v>
      </c>
      <c r="G202" s="4">
        <v>1</v>
      </c>
      <c r="H202" s="7">
        <v>1</v>
      </c>
      <c r="I202" s="4">
        <v>0</v>
      </c>
      <c r="J202" s="4">
        <v>0</v>
      </c>
      <c r="K202" s="4">
        <v>0</v>
      </c>
      <c r="L202" s="4">
        <v>0</v>
      </c>
      <c r="M202" s="6"/>
      <c r="N202" s="10">
        <f t="shared" si="18"/>
        <v>0</v>
      </c>
      <c r="O202" s="10">
        <f t="shared" si="19"/>
        <v>0</v>
      </c>
      <c r="P202" s="10">
        <f t="shared" si="20"/>
        <v>0</v>
      </c>
      <c r="Q202" s="10">
        <f t="shared" si="20"/>
        <v>0.5</v>
      </c>
      <c r="R202" s="10">
        <f t="shared" si="21"/>
        <v>1</v>
      </c>
      <c r="S202" s="10">
        <f t="shared" si="22"/>
        <v>1.5</v>
      </c>
      <c r="T202" s="10" t="str">
        <f t="shared" si="23"/>
        <v>★½</v>
      </c>
    </row>
    <row r="203" spans="1:20" s="4" customFormat="1" ht="20" thickBot="1" x14ac:dyDescent="0.3">
      <c r="A203" s="4" t="s">
        <v>337</v>
      </c>
      <c r="B203" s="4" t="s">
        <v>127</v>
      </c>
      <c r="C203" s="4" t="s">
        <v>116</v>
      </c>
      <c r="D203" s="4" t="s">
        <v>50</v>
      </c>
      <c r="E203" s="4">
        <v>29</v>
      </c>
      <c r="F203" s="4">
        <v>2709</v>
      </c>
      <c r="G203" s="4">
        <v>516</v>
      </c>
      <c r="H203" s="5">
        <v>0.223</v>
      </c>
      <c r="I203" s="4">
        <v>32</v>
      </c>
      <c r="J203" s="4">
        <v>1</v>
      </c>
      <c r="K203" s="4">
        <v>3</v>
      </c>
      <c r="L203" s="4">
        <v>0</v>
      </c>
      <c r="M203" s="6"/>
      <c r="N203" s="10">
        <f t="shared" si="18"/>
        <v>1</v>
      </c>
      <c r="O203" s="10">
        <f t="shared" si="19"/>
        <v>0</v>
      </c>
      <c r="P203" s="10">
        <f t="shared" si="20"/>
        <v>1</v>
      </c>
      <c r="Q203" s="10">
        <f t="shared" si="20"/>
        <v>0.5</v>
      </c>
      <c r="R203" s="10">
        <f t="shared" si="21"/>
        <v>0</v>
      </c>
      <c r="S203" s="10">
        <f t="shared" si="22"/>
        <v>2.5</v>
      </c>
      <c r="T203" s="10" t="str">
        <f t="shared" si="23"/>
        <v>★★½</v>
      </c>
    </row>
    <row r="204" spans="1:20" s="4" customFormat="1" ht="20" thickBot="1" x14ac:dyDescent="0.3">
      <c r="A204" s="4" t="s">
        <v>338</v>
      </c>
      <c r="B204" s="4" t="s">
        <v>29</v>
      </c>
      <c r="C204" s="4" t="s">
        <v>116</v>
      </c>
      <c r="D204" s="4" t="s">
        <v>53</v>
      </c>
      <c r="E204" s="4">
        <v>21</v>
      </c>
      <c r="F204" s="4">
        <v>3105</v>
      </c>
      <c r="G204" s="4">
        <v>680</v>
      </c>
      <c r="H204" s="5">
        <v>0.253</v>
      </c>
      <c r="I204" s="4">
        <v>82</v>
      </c>
      <c r="J204" s="4">
        <v>1</v>
      </c>
      <c r="K204" s="4">
        <v>1</v>
      </c>
      <c r="L204" s="4">
        <v>0</v>
      </c>
      <c r="M204" s="6"/>
      <c r="N204" s="10">
        <f t="shared" si="18"/>
        <v>1</v>
      </c>
      <c r="O204" s="10">
        <f t="shared" si="19"/>
        <v>0</v>
      </c>
      <c r="P204" s="10">
        <f t="shared" si="20"/>
        <v>1</v>
      </c>
      <c r="Q204" s="10">
        <f t="shared" si="20"/>
        <v>0.5</v>
      </c>
      <c r="R204" s="10">
        <f t="shared" si="21"/>
        <v>1</v>
      </c>
      <c r="S204" s="10">
        <f t="shared" si="22"/>
        <v>3.5</v>
      </c>
      <c r="T204" s="10" t="str">
        <f t="shared" si="23"/>
        <v>★★★½</v>
      </c>
    </row>
    <row r="205" spans="1:20" s="4" customFormat="1" ht="20" thickBot="1" x14ac:dyDescent="0.3">
      <c r="A205" s="4" t="s">
        <v>339</v>
      </c>
      <c r="B205" s="4" t="s">
        <v>127</v>
      </c>
      <c r="C205" s="4" t="s">
        <v>116</v>
      </c>
      <c r="D205" s="4" t="s">
        <v>47</v>
      </c>
      <c r="E205" s="4">
        <v>24</v>
      </c>
      <c r="F205" s="4">
        <v>2385</v>
      </c>
      <c r="G205" s="4">
        <v>490</v>
      </c>
      <c r="H205" s="5">
        <v>0.26900000000000002</v>
      </c>
      <c r="I205" s="4">
        <v>48</v>
      </c>
      <c r="J205" s="4">
        <v>2</v>
      </c>
      <c r="K205" s="4">
        <v>9</v>
      </c>
      <c r="L205" s="4">
        <v>0</v>
      </c>
      <c r="M205" s="6"/>
      <c r="N205" s="10">
        <f t="shared" si="18"/>
        <v>1</v>
      </c>
      <c r="O205" s="10">
        <f t="shared" si="19"/>
        <v>0</v>
      </c>
      <c r="P205" s="10">
        <f t="shared" si="20"/>
        <v>1</v>
      </c>
      <c r="Q205" s="10">
        <f t="shared" si="20"/>
        <v>0.5</v>
      </c>
      <c r="R205" s="10">
        <f t="shared" si="21"/>
        <v>0</v>
      </c>
      <c r="S205" s="10">
        <f t="shared" si="22"/>
        <v>2.5</v>
      </c>
      <c r="T205" s="10" t="str">
        <f t="shared" si="23"/>
        <v>★★½</v>
      </c>
    </row>
    <row r="206" spans="1:20" s="4" customFormat="1" ht="20" thickBot="1" x14ac:dyDescent="0.3">
      <c r="A206" s="4" t="s">
        <v>340</v>
      </c>
      <c r="B206" s="4" t="s">
        <v>29</v>
      </c>
      <c r="C206" s="4" t="s">
        <v>109</v>
      </c>
      <c r="D206" s="4" t="s">
        <v>53</v>
      </c>
      <c r="E206" s="4">
        <v>31</v>
      </c>
      <c r="F206" s="4">
        <v>1835.9999999999998</v>
      </c>
      <c r="G206" s="4">
        <v>109</v>
      </c>
      <c r="H206" s="5">
        <v>0.35799999999999998</v>
      </c>
      <c r="I206" s="4">
        <v>40</v>
      </c>
      <c r="J206" s="4">
        <v>3</v>
      </c>
      <c r="K206" s="4">
        <v>3</v>
      </c>
      <c r="L206" s="4">
        <v>0</v>
      </c>
      <c r="M206" s="6"/>
      <c r="N206" s="10">
        <f t="shared" si="18"/>
        <v>1</v>
      </c>
      <c r="O206" s="10">
        <f t="shared" si="19"/>
        <v>0</v>
      </c>
      <c r="P206" s="10">
        <f t="shared" si="20"/>
        <v>1</v>
      </c>
      <c r="Q206" s="10">
        <f t="shared" si="20"/>
        <v>1</v>
      </c>
      <c r="R206" s="10">
        <f t="shared" si="21"/>
        <v>0</v>
      </c>
      <c r="S206" s="10">
        <f t="shared" si="22"/>
        <v>3</v>
      </c>
      <c r="T206" s="10" t="str">
        <f t="shared" si="23"/>
        <v>★★★</v>
      </c>
    </row>
    <row r="207" spans="1:20" s="4" customFormat="1" ht="20" thickBot="1" x14ac:dyDescent="0.3">
      <c r="A207" s="4" t="s">
        <v>341</v>
      </c>
      <c r="B207" s="4" t="s">
        <v>17</v>
      </c>
      <c r="C207" s="4" t="s">
        <v>109</v>
      </c>
      <c r="D207" s="4" t="s">
        <v>39</v>
      </c>
      <c r="E207" s="4">
        <v>27</v>
      </c>
      <c r="F207" s="4">
        <v>81</v>
      </c>
      <c r="G207" s="4">
        <v>12</v>
      </c>
      <c r="H207" s="5">
        <v>0.16700000000000001</v>
      </c>
      <c r="I207" s="4">
        <v>0</v>
      </c>
      <c r="J207" s="4">
        <v>0</v>
      </c>
      <c r="K207" s="4">
        <v>0</v>
      </c>
      <c r="L207" s="4">
        <v>0</v>
      </c>
      <c r="M207" s="6"/>
      <c r="N207" s="10">
        <f t="shared" si="18"/>
        <v>0</v>
      </c>
      <c r="O207" s="10">
        <f t="shared" si="19"/>
        <v>0</v>
      </c>
      <c r="P207" s="10">
        <f t="shared" si="20"/>
        <v>0</v>
      </c>
      <c r="Q207" s="10">
        <f t="shared" si="20"/>
        <v>0.5</v>
      </c>
      <c r="R207" s="10">
        <f t="shared" si="21"/>
        <v>1</v>
      </c>
      <c r="S207" s="10">
        <f t="shared" si="22"/>
        <v>1.5</v>
      </c>
      <c r="T207" s="10" t="str">
        <f t="shared" si="23"/>
        <v>★½</v>
      </c>
    </row>
    <row r="208" spans="1:20" s="4" customFormat="1" ht="20" thickBot="1" x14ac:dyDescent="0.3">
      <c r="A208" s="4" t="s">
        <v>342</v>
      </c>
      <c r="B208" s="4" t="s">
        <v>72</v>
      </c>
      <c r="C208" s="4" t="s">
        <v>116</v>
      </c>
      <c r="D208" s="4" t="s">
        <v>87</v>
      </c>
      <c r="E208" s="4">
        <v>29</v>
      </c>
      <c r="F208" s="4">
        <v>1035</v>
      </c>
      <c r="G208" s="4">
        <v>155</v>
      </c>
      <c r="H208" s="5">
        <v>0.36099999999999999</v>
      </c>
      <c r="I208" s="4">
        <v>16</v>
      </c>
      <c r="J208" s="4">
        <v>0</v>
      </c>
      <c r="K208" s="4">
        <v>3</v>
      </c>
      <c r="L208" s="4">
        <v>0</v>
      </c>
      <c r="M208" s="6"/>
      <c r="N208" s="10">
        <f t="shared" si="18"/>
        <v>0</v>
      </c>
      <c r="O208" s="10">
        <f t="shared" si="19"/>
        <v>0</v>
      </c>
      <c r="P208" s="10">
        <f t="shared" si="20"/>
        <v>0</v>
      </c>
      <c r="Q208" s="10">
        <f t="shared" si="20"/>
        <v>0.5</v>
      </c>
      <c r="R208" s="10">
        <f t="shared" si="21"/>
        <v>0</v>
      </c>
      <c r="S208" s="10">
        <f t="shared" si="22"/>
        <v>0.5</v>
      </c>
      <c r="T208" s="10" t="str">
        <f t="shared" si="23"/>
        <v>☆½</v>
      </c>
    </row>
    <row r="209" spans="1:20" s="4" customFormat="1" ht="20" thickBot="1" x14ac:dyDescent="0.3">
      <c r="A209" s="4" t="s">
        <v>343</v>
      </c>
      <c r="B209" s="4" t="s">
        <v>331</v>
      </c>
      <c r="C209" s="4" t="s">
        <v>116</v>
      </c>
      <c r="D209" s="4" t="s">
        <v>30</v>
      </c>
      <c r="E209" s="4">
        <v>30</v>
      </c>
      <c r="F209" s="4">
        <v>774</v>
      </c>
      <c r="G209" s="4">
        <v>137</v>
      </c>
      <c r="H209" s="5">
        <v>0.32800000000000001</v>
      </c>
      <c r="I209" s="4">
        <v>9</v>
      </c>
      <c r="J209" s="4">
        <v>0</v>
      </c>
      <c r="K209" s="4">
        <v>1</v>
      </c>
      <c r="L209" s="4">
        <v>0</v>
      </c>
      <c r="M209" s="6"/>
      <c r="N209" s="10">
        <f t="shared" si="18"/>
        <v>0</v>
      </c>
      <c r="O209" s="10">
        <f t="shared" si="19"/>
        <v>0</v>
      </c>
      <c r="P209" s="10">
        <f t="shared" si="20"/>
        <v>0</v>
      </c>
      <c r="Q209" s="10">
        <f t="shared" si="20"/>
        <v>0.5</v>
      </c>
      <c r="R209" s="10">
        <f t="shared" si="21"/>
        <v>1</v>
      </c>
      <c r="S209" s="10">
        <f t="shared" si="22"/>
        <v>1.5</v>
      </c>
      <c r="T209" s="10" t="str">
        <f t="shared" si="23"/>
        <v>★½</v>
      </c>
    </row>
    <row r="210" spans="1:20" s="4" customFormat="1" ht="20" thickBot="1" x14ac:dyDescent="0.3">
      <c r="A210" s="4" t="s">
        <v>344</v>
      </c>
      <c r="B210" s="4" t="s">
        <v>29</v>
      </c>
      <c r="C210" s="4" t="s">
        <v>228</v>
      </c>
      <c r="D210" s="4" t="s">
        <v>15</v>
      </c>
      <c r="E210" s="4">
        <v>35</v>
      </c>
      <c r="F210" s="4">
        <v>855</v>
      </c>
      <c r="G210" s="4">
        <v>172</v>
      </c>
      <c r="H210" s="5">
        <v>0.39500000000000002</v>
      </c>
      <c r="I210" s="4">
        <v>20</v>
      </c>
      <c r="J210" s="4">
        <v>1</v>
      </c>
      <c r="K210" s="4">
        <v>2</v>
      </c>
      <c r="L210" s="4">
        <v>0</v>
      </c>
      <c r="M210" s="6"/>
      <c r="N210" s="10">
        <f t="shared" si="18"/>
        <v>0</v>
      </c>
      <c r="O210" s="10">
        <f t="shared" si="19"/>
        <v>0</v>
      </c>
      <c r="P210" s="10">
        <f t="shared" si="20"/>
        <v>0</v>
      </c>
      <c r="Q210" s="10">
        <f t="shared" si="20"/>
        <v>0.5</v>
      </c>
      <c r="R210" s="10">
        <f t="shared" si="21"/>
        <v>1</v>
      </c>
      <c r="S210" s="10">
        <f t="shared" si="22"/>
        <v>1.5</v>
      </c>
      <c r="T210" s="10" t="str">
        <f t="shared" si="23"/>
        <v>★½</v>
      </c>
    </row>
    <row r="211" spans="1:20" s="4" customFormat="1" ht="20" thickBot="1" x14ac:dyDescent="0.3">
      <c r="A211" s="4" t="s">
        <v>345</v>
      </c>
      <c r="B211" s="4" t="s">
        <v>122</v>
      </c>
      <c r="C211" s="4" t="s">
        <v>109</v>
      </c>
      <c r="D211" s="4" t="s">
        <v>27</v>
      </c>
      <c r="E211" s="4">
        <v>26</v>
      </c>
      <c r="F211" s="4">
        <v>846</v>
      </c>
      <c r="G211" s="4">
        <v>70</v>
      </c>
      <c r="H211" s="5">
        <v>0.42899999999999999</v>
      </c>
      <c r="I211" s="4">
        <v>19</v>
      </c>
      <c r="J211" s="4">
        <v>0</v>
      </c>
      <c r="K211" s="4">
        <v>3</v>
      </c>
      <c r="L211" s="4">
        <v>0</v>
      </c>
      <c r="M211" s="6"/>
      <c r="N211" s="10">
        <f t="shared" si="18"/>
        <v>0</v>
      </c>
      <c r="O211" s="10">
        <f t="shared" si="19"/>
        <v>0</v>
      </c>
      <c r="P211" s="10">
        <f t="shared" si="20"/>
        <v>0</v>
      </c>
      <c r="Q211" s="10">
        <f t="shared" si="20"/>
        <v>0.5</v>
      </c>
      <c r="R211" s="10">
        <f t="shared" si="21"/>
        <v>0</v>
      </c>
      <c r="S211" s="10">
        <f t="shared" si="22"/>
        <v>0.5</v>
      </c>
      <c r="T211" s="10" t="str">
        <f t="shared" si="23"/>
        <v>☆½</v>
      </c>
    </row>
    <row r="212" spans="1:20" s="4" customFormat="1" ht="20" thickBot="1" x14ac:dyDescent="0.3">
      <c r="A212" s="4" t="s">
        <v>346</v>
      </c>
      <c r="B212" s="4" t="s">
        <v>29</v>
      </c>
      <c r="C212" s="4" t="s">
        <v>109</v>
      </c>
      <c r="D212" s="4" t="s">
        <v>69</v>
      </c>
      <c r="E212" s="4">
        <v>28</v>
      </c>
      <c r="F212" s="4">
        <v>3186</v>
      </c>
      <c r="G212" s="4">
        <v>203</v>
      </c>
      <c r="H212" s="5">
        <v>0.32500000000000001</v>
      </c>
      <c r="I212" s="4">
        <v>70</v>
      </c>
      <c r="J212" s="4">
        <v>4</v>
      </c>
      <c r="K212" s="4">
        <v>11</v>
      </c>
      <c r="L212" s="4">
        <v>0</v>
      </c>
      <c r="M212" s="6"/>
      <c r="N212" s="10">
        <f t="shared" si="18"/>
        <v>1</v>
      </c>
      <c r="O212" s="10">
        <f t="shared" si="19"/>
        <v>0.5</v>
      </c>
      <c r="P212" s="10">
        <f t="shared" si="20"/>
        <v>1</v>
      </c>
      <c r="Q212" s="10">
        <f t="shared" si="20"/>
        <v>1</v>
      </c>
      <c r="R212" s="10">
        <f t="shared" si="21"/>
        <v>0</v>
      </c>
      <c r="S212" s="10">
        <f t="shared" si="22"/>
        <v>3.5</v>
      </c>
      <c r="T212" s="10" t="str">
        <f t="shared" si="23"/>
        <v>★★★½</v>
      </c>
    </row>
    <row r="213" spans="1:20" s="4" customFormat="1" ht="20" thickBot="1" x14ac:dyDescent="0.3">
      <c r="A213" s="4" t="s">
        <v>347</v>
      </c>
      <c r="B213" s="4" t="s">
        <v>29</v>
      </c>
      <c r="C213" s="4" t="s">
        <v>109</v>
      </c>
      <c r="D213" s="4" t="s">
        <v>30</v>
      </c>
      <c r="E213" s="4">
        <v>21</v>
      </c>
      <c r="F213" s="4">
        <v>3105</v>
      </c>
      <c r="G213" s="4">
        <v>683</v>
      </c>
      <c r="H213" s="5">
        <v>0.31900000000000001</v>
      </c>
      <c r="I213" s="4">
        <v>76</v>
      </c>
      <c r="J213" s="4">
        <v>2</v>
      </c>
      <c r="K213" s="4">
        <v>1</v>
      </c>
      <c r="L213" s="4">
        <v>0</v>
      </c>
      <c r="M213" s="6"/>
      <c r="N213" s="10">
        <f t="shared" si="18"/>
        <v>1</v>
      </c>
      <c r="O213" s="10">
        <f t="shared" si="19"/>
        <v>1</v>
      </c>
      <c r="P213" s="10">
        <f t="shared" si="20"/>
        <v>1</v>
      </c>
      <c r="Q213" s="10">
        <f t="shared" si="20"/>
        <v>0.5</v>
      </c>
      <c r="R213" s="10">
        <f t="shared" si="21"/>
        <v>1</v>
      </c>
      <c r="S213" s="10">
        <f t="shared" si="22"/>
        <v>4.5</v>
      </c>
      <c r="T213" s="10" t="str">
        <f t="shared" si="23"/>
        <v>★★★★½</v>
      </c>
    </row>
    <row r="214" spans="1:20" s="4" customFormat="1" ht="20" thickBot="1" x14ac:dyDescent="0.3">
      <c r="A214" s="4" t="s">
        <v>348</v>
      </c>
      <c r="B214" s="4" t="s">
        <v>29</v>
      </c>
      <c r="C214" s="4" t="s">
        <v>116</v>
      </c>
      <c r="D214" s="4" t="s">
        <v>15</v>
      </c>
      <c r="E214" s="4">
        <v>18</v>
      </c>
      <c r="F214" s="4">
        <v>62.999999999999993</v>
      </c>
      <c r="G214" s="4">
        <v>12</v>
      </c>
      <c r="H214" s="5">
        <v>0.33300000000000002</v>
      </c>
      <c r="I214" s="4">
        <v>0</v>
      </c>
      <c r="J214" s="4">
        <v>0</v>
      </c>
      <c r="K214" s="4">
        <v>1</v>
      </c>
      <c r="L214" s="4">
        <v>0</v>
      </c>
      <c r="M214" s="6"/>
      <c r="N214" s="10">
        <f t="shared" si="18"/>
        <v>0</v>
      </c>
      <c r="O214" s="10">
        <f t="shared" si="19"/>
        <v>0</v>
      </c>
      <c r="P214" s="10">
        <f t="shared" si="20"/>
        <v>0</v>
      </c>
      <c r="Q214" s="10">
        <f t="shared" si="20"/>
        <v>0.5</v>
      </c>
      <c r="R214" s="10">
        <f t="shared" si="21"/>
        <v>1</v>
      </c>
      <c r="S214" s="10">
        <f t="shared" si="22"/>
        <v>1.5</v>
      </c>
      <c r="T214" s="10" t="str">
        <f t="shared" si="23"/>
        <v>★½</v>
      </c>
    </row>
    <row r="215" spans="1:20" s="4" customFormat="1" ht="20" thickBot="1" x14ac:dyDescent="0.3">
      <c r="A215" s="4" t="s">
        <v>349</v>
      </c>
      <c r="B215" s="4" t="s">
        <v>83</v>
      </c>
      <c r="C215" s="4" t="s">
        <v>116</v>
      </c>
      <c r="D215" s="4" t="s">
        <v>81</v>
      </c>
      <c r="E215" s="4">
        <v>34</v>
      </c>
      <c r="F215" s="4">
        <v>2970</v>
      </c>
      <c r="G215" s="4">
        <v>608</v>
      </c>
      <c r="H215" s="5">
        <v>0.30599999999999999</v>
      </c>
      <c r="I215" s="4">
        <v>52</v>
      </c>
      <c r="J215" s="4">
        <v>3</v>
      </c>
      <c r="K215" s="4">
        <v>4</v>
      </c>
      <c r="L215" s="4">
        <v>0</v>
      </c>
      <c r="M215" s="6"/>
      <c r="N215" s="10">
        <f t="shared" si="18"/>
        <v>1</v>
      </c>
      <c r="O215" s="10">
        <f t="shared" si="19"/>
        <v>0</v>
      </c>
      <c r="P215" s="10">
        <f t="shared" si="20"/>
        <v>1</v>
      </c>
      <c r="Q215" s="10">
        <f t="shared" si="20"/>
        <v>1</v>
      </c>
      <c r="R215" s="10">
        <f t="shared" si="21"/>
        <v>0</v>
      </c>
      <c r="S215" s="10">
        <f t="shared" si="22"/>
        <v>3</v>
      </c>
      <c r="T215" s="10" t="str">
        <f t="shared" si="23"/>
        <v>★★★</v>
      </c>
    </row>
    <row r="216" spans="1:20" s="4" customFormat="1" ht="20" thickBot="1" x14ac:dyDescent="0.3">
      <c r="A216" s="4" t="s">
        <v>350</v>
      </c>
      <c r="B216" s="4" t="s">
        <v>29</v>
      </c>
      <c r="C216" s="4" t="s">
        <v>109</v>
      </c>
      <c r="D216" s="4" t="s">
        <v>50</v>
      </c>
      <c r="E216" s="4">
        <v>19</v>
      </c>
      <c r="F216" s="4">
        <v>45</v>
      </c>
      <c r="G216" s="4">
        <v>12</v>
      </c>
      <c r="H216" s="7">
        <v>0.25</v>
      </c>
      <c r="I216" s="4">
        <v>2</v>
      </c>
      <c r="J216" s="4">
        <v>0</v>
      </c>
      <c r="K216" s="4">
        <v>0</v>
      </c>
      <c r="L216" s="4">
        <v>0</v>
      </c>
      <c r="M216" s="6"/>
      <c r="N216" s="10">
        <f t="shared" si="18"/>
        <v>0</v>
      </c>
      <c r="O216" s="10">
        <f t="shared" si="19"/>
        <v>0</v>
      </c>
      <c r="P216" s="10">
        <f t="shared" si="20"/>
        <v>0</v>
      </c>
      <c r="Q216" s="10">
        <f t="shared" si="20"/>
        <v>0.5</v>
      </c>
      <c r="R216" s="10">
        <f t="shared" si="21"/>
        <v>1</v>
      </c>
      <c r="S216" s="10">
        <f t="shared" si="22"/>
        <v>1.5</v>
      </c>
      <c r="T216" s="10" t="str">
        <f t="shared" si="23"/>
        <v>★½</v>
      </c>
    </row>
    <row r="217" spans="1:20" s="4" customFormat="1" ht="20" thickBot="1" x14ac:dyDescent="0.3">
      <c r="A217" s="4" t="s">
        <v>351</v>
      </c>
      <c r="B217" s="4" t="s">
        <v>29</v>
      </c>
      <c r="C217" s="4" t="s">
        <v>114</v>
      </c>
      <c r="D217" s="4" t="s">
        <v>35</v>
      </c>
      <c r="E217" s="4">
        <v>26</v>
      </c>
      <c r="F217" s="4">
        <v>1475.9999999999998</v>
      </c>
      <c r="G217" s="4">
        <v>320</v>
      </c>
      <c r="H217" s="5">
        <v>0.222</v>
      </c>
      <c r="I217" s="4">
        <v>31</v>
      </c>
      <c r="J217" s="4">
        <v>3</v>
      </c>
      <c r="K217" s="4">
        <v>4</v>
      </c>
      <c r="L217" s="4">
        <v>0</v>
      </c>
      <c r="M217" s="6"/>
      <c r="N217" s="10">
        <f t="shared" si="18"/>
        <v>1</v>
      </c>
      <c r="O217" s="10">
        <f t="shared" si="19"/>
        <v>0</v>
      </c>
      <c r="P217" s="10">
        <f t="shared" si="20"/>
        <v>1</v>
      </c>
      <c r="Q217" s="10">
        <f t="shared" si="20"/>
        <v>1</v>
      </c>
      <c r="R217" s="10">
        <f t="shared" si="21"/>
        <v>0</v>
      </c>
      <c r="S217" s="10">
        <f t="shared" si="22"/>
        <v>3</v>
      </c>
      <c r="T217" s="10" t="str">
        <f t="shared" si="23"/>
        <v>★★★</v>
      </c>
    </row>
    <row r="218" spans="1:20" s="4" customFormat="1" ht="20" thickBot="1" x14ac:dyDescent="0.3">
      <c r="A218" s="4" t="s">
        <v>352</v>
      </c>
      <c r="B218" s="4" t="s">
        <v>353</v>
      </c>
      <c r="C218" s="4" t="s">
        <v>109</v>
      </c>
      <c r="D218" s="4" t="s">
        <v>27</v>
      </c>
      <c r="E218" s="4">
        <v>22</v>
      </c>
      <c r="F218" s="4">
        <v>1053</v>
      </c>
      <c r="G218" s="4">
        <v>172</v>
      </c>
      <c r="H218" s="7">
        <v>0.25</v>
      </c>
      <c r="I218" s="4">
        <v>34</v>
      </c>
      <c r="J218" s="4">
        <v>1</v>
      </c>
      <c r="K218" s="4">
        <v>0</v>
      </c>
      <c r="L218" s="4">
        <v>0</v>
      </c>
      <c r="M218" s="6"/>
      <c r="N218" s="10">
        <f t="shared" si="18"/>
        <v>0</v>
      </c>
      <c r="O218" s="10">
        <f t="shared" si="19"/>
        <v>0</v>
      </c>
      <c r="P218" s="10">
        <f t="shared" si="20"/>
        <v>1</v>
      </c>
      <c r="Q218" s="10">
        <f t="shared" si="20"/>
        <v>0.5</v>
      </c>
      <c r="R218" s="10">
        <f t="shared" si="21"/>
        <v>1</v>
      </c>
      <c r="S218" s="10">
        <f t="shared" si="22"/>
        <v>2.5</v>
      </c>
      <c r="T218" s="10" t="str">
        <f t="shared" si="23"/>
        <v>★★½</v>
      </c>
    </row>
    <row r="219" spans="1:20" s="4" customFormat="1" ht="20" thickBot="1" x14ac:dyDescent="0.3">
      <c r="A219" s="4" t="s">
        <v>354</v>
      </c>
      <c r="B219" s="4" t="s">
        <v>355</v>
      </c>
      <c r="C219" s="4" t="s">
        <v>116</v>
      </c>
      <c r="D219" s="4" t="s">
        <v>69</v>
      </c>
      <c r="E219" s="4">
        <v>27</v>
      </c>
      <c r="F219" s="4">
        <v>900</v>
      </c>
      <c r="G219" s="4">
        <v>209</v>
      </c>
      <c r="H219" s="5">
        <v>0.28199999999999997</v>
      </c>
      <c r="I219" s="4">
        <v>16</v>
      </c>
      <c r="J219" s="4">
        <v>0</v>
      </c>
      <c r="K219" s="4">
        <v>5</v>
      </c>
      <c r="L219" s="4">
        <v>0</v>
      </c>
      <c r="M219" s="6"/>
      <c r="N219" s="10">
        <f t="shared" si="18"/>
        <v>0</v>
      </c>
      <c r="O219" s="10">
        <f t="shared" si="19"/>
        <v>0</v>
      </c>
      <c r="P219" s="10">
        <f t="shared" si="20"/>
        <v>0</v>
      </c>
      <c r="Q219" s="10">
        <f t="shared" si="20"/>
        <v>0.5</v>
      </c>
      <c r="R219" s="10">
        <f t="shared" si="21"/>
        <v>0</v>
      </c>
      <c r="S219" s="10">
        <f t="shared" si="22"/>
        <v>0.5</v>
      </c>
      <c r="T219" s="10" t="str">
        <f t="shared" si="23"/>
        <v>☆½</v>
      </c>
    </row>
    <row r="220" spans="1:20" s="4" customFormat="1" ht="20" thickBot="1" x14ac:dyDescent="0.3">
      <c r="A220" s="4" t="s">
        <v>356</v>
      </c>
      <c r="B220" s="4" t="s">
        <v>219</v>
      </c>
      <c r="C220" s="4" t="s">
        <v>228</v>
      </c>
      <c r="D220" s="4" t="s">
        <v>87</v>
      </c>
      <c r="E220" s="4">
        <v>24</v>
      </c>
      <c r="F220" s="4">
        <v>1620</v>
      </c>
      <c r="G220" s="4">
        <v>410</v>
      </c>
      <c r="H220" s="5">
        <v>0.33400000000000002</v>
      </c>
      <c r="I220" s="4">
        <v>32</v>
      </c>
      <c r="J220" s="4">
        <v>0</v>
      </c>
      <c r="K220" s="4">
        <v>4</v>
      </c>
      <c r="L220" s="4">
        <v>0</v>
      </c>
      <c r="M220" s="6"/>
      <c r="N220" s="10">
        <f t="shared" si="18"/>
        <v>1</v>
      </c>
      <c r="O220" s="10">
        <f t="shared" si="19"/>
        <v>1</v>
      </c>
      <c r="P220" s="10">
        <f t="shared" si="20"/>
        <v>1</v>
      </c>
      <c r="Q220" s="10">
        <f t="shared" si="20"/>
        <v>0.5</v>
      </c>
      <c r="R220" s="10">
        <f t="shared" si="21"/>
        <v>0</v>
      </c>
      <c r="S220" s="10">
        <f t="shared" si="22"/>
        <v>3.5</v>
      </c>
      <c r="T220" s="10" t="str">
        <f t="shared" si="23"/>
        <v>★★★½</v>
      </c>
    </row>
    <row r="221" spans="1:20" s="4" customFormat="1" ht="20" thickBot="1" x14ac:dyDescent="0.3">
      <c r="A221" s="4" t="s">
        <v>357</v>
      </c>
      <c r="B221" s="4" t="s">
        <v>17</v>
      </c>
      <c r="C221" s="4" t="s">
        <v>116</v>
      </c>
      <c r="D221" s="4" t="s">
        <v>65</v>
      </c>
      <c r="E221" s="4">
        <v>24</v>
      </c>
      <c r="F221" s="4">
        <v>486.00000000000006</v>
      </c>
      <c r="G221" s="4">
        <v>88</v>
      </c>
      <c r="H221" s="5">
        <v>0.29499999999999998</v>
      </c>
      <c r="I221" s="4">
        <v>2</v>
      </c>
      <c r="J221" s="4">
        <v>2</v>
      </c>
      <c r="K221" s="4">
        <v>1</v>
      </c>
      <c r="L221" s="4">
        <v>0</v>
      </c>
      <c r="M221" s="6"/>
      <c r="N221" s="10">
        <f t="shared" si="18"/>
        <v>0</v>
      </c>
      <c r="O221" s="10">
        <f t="shared" si="19"/>
        <v>0</v>
      </c>
      <c r="P221" s="10">
        <f t="shared" si="20"/>
        <v>0</v>
      </c>
      <c r="Q221" s="10">
        <f t="shared" si="20"/>
        <v>0.5</v>
      </c>
      <c r="R221" s="10">
        <f t="shared" si="21"/>
        <v>1</v>
      </c>
      <c r="S221" s="10">
        <f t="shared" si="22"/>
        <v>1.5</v>
      </c>
      <c r="T221" s="10" t="str">
        <f t="shared" si="23"/>
        <v>★½</v>
      </c>
    </row>
    <row r="222" spans="1:20" s="4" customFormat="1" ht="20" thickBot="1" x14ac:dyDescent="0.3">
      <c r="A222" s="4" t="s">
        <v>358</v>
      </c>
      <c r="B222" s="4" t="s">
        <v>83</v>
      </c>
      <c r="C222" s="4" t="s">
        <v>116</v>
      </c>
      <c r="D222" s="4" t="s">
        <v>81</v>
      </c>
      <c r="E222" s="4">
        <v>24</v>
      </c>
      <c r="F222" s="4">
        <v>2664</v>
      </c>
      <c r="G222" s="4">
        <v>541</v>
      </c>
      <c r="H222" s="5">
        <v>0.26800000000000002</v>
      </c>
      <c r="I222" s="4">
        <v>43</v>
      </c>
      <c r="J222" s="4">
        <v>6</v>
      </c>
      <c r="K222" s="4">
        <v>9</v>
      </c>
      <c r="L222" s="4">
        <v>0</v>
      </c>
      <c r="M222" s="6"/>
      <c r="N222" s="10">
        <f t="shared" si="18"/>
        <v>1</v>
      </c>
      <c r="O222" s="10">
        <f t="shared" si="19"/>
        <v>0</v>
      </c>
      <c r="P222" s="10">
        <f t="shared" si="20"/>
        <v>1</v>
      </c>
      <c r="Q222" s="10">
        <f t="shared" si="20"/>
        <v>1</v>
      </c>
      <c r="R222" s="10">
        <f t="shared" si="21"/>
        <v>0</v>
      </c>
      <c r="S222" s="10">
        <f t="shared" si="22"/>
        <v>3</v>
      </c>
      <c r="T222" s="10" t="str">
        <f t="shared" si="23"/>
        <v>★★★</v>
      </c>
    </row>
    <row r="223" spans="1:20" s="4" customFormat="1" ht="20" thickBot="1" x14ac:dyDescent="0.3">
      <c r="A223" s="4" t="s">
        <v>359</v>
      </c>
      <c r="B223" s="4" t="s">
        <v>29</v>
      </c>
      <c r="C223" s="4" t="s">
        <v>109</v>
      </c>
      <c r="D223" s="4" t="s">
        <v>24</v>
      </c>
      <c r="E223" s="4">
        <v>20</v>
      </c>
      <c r="F223" s="4">
        <v>900</v>
      </c>
      <c r="G223" s="4">
        <v>202</v>
      </c>
      <c r="H223" s="5">
        <v>0.27200000000000002</v>
      </c>
      <c r="I223" s="4">
        <v>16</v>
      </c>
      <c r="J223" s="4">
        <v>0</v>
      </c>
      <c r="K223" s="4">
        <v>0</v>
      </c>
      <c r="L223" s="4">
        <v>0</v>
      </c>
      <c r="M223" s="6"/>
      <c r="N223" s="10">
        <f t="shared" si="18"/>
        <v>0</v>
      </c>
      <c r="O223" s="10">
        <f t="shared" si="19"/>
        <v>0</v>
      </c>
      <c r="P223" s="10">
        <f t="shared" si="20"/>
        <v>0</v>
      </c>
      <c r="Q223" s="10">
        <f t="shared" si="20"/>
        <v>0.5</v>
      </c>
      <c r="R223" s="10">
        <f t="shared" si="21"/>
        <v>1</v>
      </c>
      <c r="S223" s="10">
        <f t="shared" si="22"/>
        <v>1.5</v>
      </c>
      <c r="T223" s="10" t="str">
        <f t="shared" si="23"/>
        <v>★½</v>
      </c>
    </row>
    <row r="224" spans="1:20" s="4" customFormat="1" ht="20" thickBot="1" x14ac:dyDescent="0.3">
      <c r="A224" s="4" t="s">
        <v>360</v>
      </c>
      <c r="B224" s="4" t="s">
        <v>20</v>
      </c>
      <c r="C224" s="4" t="s">
        <v>228</v>
      </c>
      <c r="D224" s="4" t="s">
        <v>21</v>
      </c>
      <c r="E224" s="4">
        <v>26</v>
      </c>
      <c r="F224" s="4">
        <v>477</v>
      </c>
      <c r="G224" s="4">
        <v>103</v>
      </c>
      <c r="H224" s="5">
        <v>0.28199999999999997</v>
      </c>
      <c r="I224" s="4">
        <v>13</v>
      </c>
      <c r="J224" s="4">
        <v>0</v>
      </c>
      <c r="K224" s="4">
        <v>1</v>
      </c>
      <c r="L224" s="4">
        <v>0</v>
      </c>
      <c r="M224" s="6"/>
      <c r="N224" s="10">
        <f t="shared" si="18"/>
        <v>0</v>
      </c>
      <c r="O224" s="10">
        <f t="shared" si="19"/>
        <v>0</v>
      </c>
      <c r="P224" s="10">
        <f t="shared" si="20"/>
        <v>0</v>
      </c>
      <c r="Q224" s="10">
        <f t="shared" si="20"/>
        <v>0.5</v>
      </c>
      <c r="R224" s="10">
        <f t="shared" si="21"/>
        <v>1</v>
      </c>
      <c r="S224" s="10">
        <f t="shared" si="22"/>
        <v>1.5</v>
      </c>
      <c r="T224" s="10" t="str">
        <f t="shared" si="23"/>
        <v>★½</v>
      </c>
    </row>
    <row r="225" spans="1:20" s="4" customFormat="1" ht="20" thickBot="1" x14ac:dyDescent="0.3">
      <c r="A225" s="4" t="s">
        <v>361</v>
      </c>
      <c r="B225" s="4" t="s">
        <v>333</v>
      </c>
      <c r="C225" s="4" t="s">
        <v>109</v>
      </c>
      <c r="D225" s="4" t="s">
        <v>24</v>
      </c>
      <c r="E225" s="4">
        <v>31</v>
      </c>
      <c r="F225" s="4">
        <v>171</v>
      </c>
      <c r="G225" s="4">
        <v>7</v>
      </c>
      <c r="H225" s="5">
        <v>0.71399999999999997</v>
      </c>
      <c r="I225" s="4">
        <v>5</v>
      </c>
      <c r="J225" s="4">
        <v>0</v>
      </c>
      <c r="K225" s="4">
        <v>0</v>
      </c>
      <c r="L225" s="4">
        <v>0</v>
      </c>
      <c r="M225" s="6"/>
      <c r="N225" s="10">
        <f t="shared" si="18"/>
        <v>0</v>
      </c>
      <c r="O225" s="10">
        <f t="shared" si="19"/>
        <v>0</v>
      </c>
      <c r="P225" s="10">
        <f t="shared" si="20"/>
        <v>0</v>
      </c>
      <c r="Q225" s="10">
        <f t="shared" si="20"/>
        <v>0.5</v>
      </c>
      <c r="R225" s="10">
        <f t="shared" si="21"/>
        <v>1</v>
      </c>
      <c r="S225" s="10">
        <f t="shared" si="22"/>
        <v>1.5</v>
      </c>
      <c r="T225" s="10" t="str">
        <f t="shared" si="23"/>
        <v>★½</v>
      </c>
    </row>
    <row r="226" spans="1:20" s="4" customFormat="1" ht="20" thickBot="1" x14ac:dyDescent="0.3">
      <c r="A226" s="4" t="s">
        <v>362</v>
      </c>
      <c r="B226" s="4" t="s">
        <v>29</v>
      </c>
      <c r="C226" s="4" t="s">
        <v>116</v>
      </c>
      <c r="D226" s="4" t="s">
        <v>18</v>
      </c>
      <c r="E226" s="4">
        <v>34</v>
      </c>
      <c r="F226" s="4">
        <v>333</v>
      </c>
      <c r="G226" s="4">
        <v>53</v>
      </c>
      <c r="H226" s="5">
        <v>0.39600000000000002</v>
      </c>
      <c r="I226" s="4">
        <v>4</v>
      </c>
      <c r="J226" s="4">
        <v>1</v>
      </c>
      <c r="K226" s="4">
        <v>0</v>
      </c>
      <c r="L226" s="4">
        <v>0</v>
      </c>
      <c r="M226" s="6"/>
      <c r="N226" s="10">
        <f t="shared" si="18"/>
        <v>0</v>
      </c>
      <c r="O226" s="10">
        <f t="shared" si="19"/>
        <v>0</v>
      </c>
      <c r="P226" s="10">
        <f t="shared" si="20"/>
        <v>0</v>
      </c>
      <c r="Q226" s="10">
        <f t="shared" si="20"/>
        <v>0.5</v>
      </c>
      <c r="R226" s="10">
        <f t="shared" si="21"/>
        <v>1</v>
      </c>
      <c r="S226" s="10">
        <f t="shared" si="22"/>
        <v>1.5</v>
      </c>
      <c r="T226" s="10" t="str">
        <f t="shared" si="23"/>
        <v>★½</v>
      </c>
    </row>
    <row r="227" spans="1:20" s="4" customFormat="1" ht="20" thickBot="1" x14ac:dyDescent="0.3">
      <c r="A227" s="4" t="s">
        <v>363</v>
      </c>
      <c r="B227" s="4" t="s">
        <v>67</v>
      </c>
      <c r="C227" s="4" t="s">
        <v>116</v>
      </c>
      <c r="D227" s="4" t="s">
        <v>43</v>
      </c>
      <c r="E227" s="4">
        <v>27</v>
      </c>
      <c r="F227" s="4">
        <v>3051</v>
      </c>
      <c r="G227" s="4">
        <v>691</v>
      </c>
      <c r="H227" s="5">
        <v>0.315</v>
      </c>
      <c r="I227" s="4">
        <v>59</v>
      </c>
      <c r="J227" s="4">
        <v>7</v>
      </c>
      <c r="K227" s="4">
        <v>8</v>
      </c>
      <c r="L227" s="4">
        <v>0</v>
      </c>
      <c r="M227" s="6"/>
      <c r="N227" s="10">
        <f t="shared" si="18"/>
        <v>1</v>
      </c>
      <c r="O227" s="10">
        <f t="shared" si="19"/>
        <v>1</v>
      </c>
      <c r="P227" s="10">
        <f t="shared" si="20"/>
        <v>1</v>
      </c>
      <c r="Q227" s="10">
        <f t="shared" si="20"/>
        <v>1</v>
      </c>
      <c r="R227" s="10">
        <f t="shared" si="21"/>
        <v>0</v>
      </c>
      <c r="S227" s="10">
        <f t="shared" si="22"/>
        <v>4</v>
      </c>
      <c r="T227" s="10" t="str">
        <f t="shared" si="23"/>
        <v>★★★★</v>
      </c>
    </row>
    <row r="228" spans="1:20" s="4" customFormat="1" ht="20" thickBot="1" x14ac:dyDescent="0.3">
      <c r="A228" s="4" t="s">
        <v>364</v>
      </c>
      <c r="B228" s="4" t="s">
        <v>57</v>
      </c>
      <c r="C228" s="4" t="s">
        <v>116</v>
      </c>
      <c r="D228" s="4" t="s">
        <v>50</v>
      </c>
      <c r="E228" s="4">
        <v>25</v>
      </c>
      <c r="F228" s="4">
        <v>1647</v>
      </c>
      <c r="G228" s="4">
        <v>324</v>
      </c>
      <c r="H228" s="5">
        <v>0.20399999999999999</v>
      </c>
      <c r="I228" s="4">
        <v>26</v>
      </c>
      <c r="J228" s="4">
        <v>3</v>
      </c>
      <c r="K228" s="4">
        <v>6</v>
      </c>
      <c r="L228" s="4">
        <v>0</v>
      </c>
      <c r="M228" s="6"/>
      <c r="N228" s="10">
        <f t="shared" si="18"/>
        <v>1</v>
      </c>
      <c r="O228" s="10">
        <f t="shared" si="19"/>
        <v>0</v>
      </c>
      <c r="P228" s="10">
        <f t="shared" si="20"/>
        <v>0</v>
      </c>
      <c r="Q228" s="10">
        <f t="shared" si="20"/>
        <v>1</v>
      </c>
      <c r="R228" s="10">
        <f t="shared" si="21"/>
        <v>0</v>
      </c>
      <c r="S228" s="10">
        <f t="shared" si="22"/>
        <v>2</v>
      </c>
      <c r="T228" s="10" t="str">
        <f t="shared" si="23"/>
        <v>★★</v>
      </c>
    </row>
    <row r="229" spans="1:20" s="4" customFormat="1" ht="20" thickBot="1" x14ac:dyDescent="0.3">
      <c r="A229" s="4" t="s">
        <v>365</v>
      </c>
      <c r="B229" s="4" t="s">
        <v>57</v>
      </c>
      <c r="C229" s="4" t="s">
        <v>116</v>
      </c>
      <c r="D229" s="4" t="s">
        <v>63</v>
      </c>
      <c r="E229" s="4">
        <v>22</v>
      </c>
      <c r="F229" s="4">
        <v>2781</v>
      </c>
      <c r="G229" s="4">
        <v>574</v>
      </c>
      <c r="H229" s="5">
        <v>0.26800000000000002</v>
      </c>
      <c r="I229" s="4">
        <v>18</v>
      </c>
      <c r="J229" s="4">
        <v>11</v>
      </c>
      <c r="K229" s="4">
        <v>4</v>
      </c>
      <c r="L229" s="4">
        <v>0</v>
      </c>
      <c r="M229" s="6"/>
      <c r="N229" s="10">
        <f t="shared" si="18"/>
        <v>1</v>
      </c>
      <c r="O229" s="10">
        <f t="shared" si="19"/>
        <v>0</v>
      </c>
      <c r="P229" s="10">
        <f t="shared" si="20"/>
        <v>0</v>
      </c>
      <c r="Q229" s="10">
        <f t="shared" si="20"/>
        <v>1</v>
      </c>
      <c r="R229" s="10">
        <f t="shared" si="21"/>
        <v>0</v>
      </c>
      <c r="S229" s="10">
        <f t="shared" si="22"/>
        <v>2</v>
      </c>
      <c r="T229" s="10" t="str">
        <f t="shared" si="23"/>
        <v>★★</v>
      </c>
    </row>
    <row r="230" spans="1:20" s="4" customFormat="1" ht="20" thickBot="1" x14ac:dyDescent="0.3">
      <c r="A230" s="4" t="s">
        <v>366</v>
      </c>
      <c r="B230" s="4" t="s">
        <v>276</v>
      </c>
      <c r="C230" s="4" t="s">
        <v>109</v>
      </c>
      <c r="D230" s="4" t="s">
        <v>18</v>
      </c>
      <c r="E230" s="4">
        <v>33</v>
      </c>
      <c r="F230" s="4">
        <v>917.99999999999989</v>
      </c>
      <c r="G230" s="4">
        <v>50</v>
      </c>
      <c r="H230" s="7">
        <v>0.32</v>
      </c>
      <c r="I230" s="4">
        <v>7</v>
      </c>
      <c r="J230" s="4">
        <v>1</v>
      </c>
      <c r="K230" s="4">
        <v>1</v>
      </c>
      <c r="L230" s="4">
        <v>0</v>
      </c>
      <c r="M230" s="6"/>
      <c r="N230" s="10">
        <f t="shared" si="18"/>
        <v>0</v>
      </c>
      <c r="O230" s="10">
        <f t="shared" si="19"/>
        <v>0</v>
      </c>
      <c r="P230" s="10">
        <f t="shared" si="20"/>
        <v>0</v>
      </c>
      <c r="Q230" s="10">
        <f t="shared" si="20"/>
        <v>0.5</v>
      </c>
      <c r="R230" s="10">
        <f t="shared" si="21"/>
        <v>1</v>
      </c>
      <c r="S230" s="10">
        <f t="shared" si="22"/>
        <v>1.5</v>
      </c>
      <c r="T230" s="10" t="str">
        <f t="shared" si="23"/>
        <v>★½</v>
      </c>
    </row>
    <row r="231" spans="1:20" s="4" customFormat="1" ht="20" thickBot="1" x14ac:dyDescent="0.3">
      <c r="A231" s="4" t="s">
        <v>367</v>
      </c>
      <c r="B231" s="4" t="s">
        <v>55</v>
      </c>
      <c r="C231" s="4" t="s">
        <v>109</v>
      </c>
      <c r="D231" s="4" t="s">
        <v>50</v>
      </c>
      <c r="E231" s="4">
        <v>19</v>
      </c>
      <c r="F231" s="4">
        <v>378</v>
      </c>
      <c r="G231" s="4">
        <v>49</v>
      </c>
      <c r="H231" s="5">
        <v>0.28599999999999998</v>
      </c>
      <c r="I231" s="4">
        <v>10</v>
      </c>
      <c r="J231" s="4">
        <v>1</v>
      </c>
      <c r="K231" s="4">
        <v>1</v>
      </c>
      <c r="L231" s="4">
        <v>0</v>
      </c>
      <c r="M231" s="6"/>
      <c r="N231" s="10">
        <f t="shared" si="18"/>
        <v>0</v>
      </c>
      <c r="O231" s="10">
        <f t="shared" si="19"/>
        <v>0</v>
      </c>
      <c r="P231" s="10">
        <f t="shared" si="20"/>
        <v>0</v>
      </c>
      <c r="Q231" s="10">
        <f t="shared" si="20"/>
        <v>0.5</v>
      </c>
      <c r="R231" s="10">
        <f t="shared" si="21"/>
        <v>1</v>
      </c>
      <c r="S231" s="10">
        <f t="shared" si="22"/>
        <v>1.5</v>
      </c>
      <c r="T231" s="10" t="str">
        <f t="shared" si="23"/>
        <v>★½</v>
      </c>
    </row>
    <row r="232" spans="1:20" s="4" customFormat="1" ht="20" thickBot="1" x14ac:dyDescent="0.3">
      <c r="A232" s="4" t="s">
        <v>368</v>
      </c>
      <c r="B232" s="4" t="s">
        <v>219</v>
      </c>
      <c r="C232" s="4" t="s">
        <v>116</v>
      </c>
      <c r="D232" s="4" t="s">
        <v>43</v>
      </c>
      <c r="E232" s="4">
        <v>23</v>
      </c>
      <c r="F232" s="4">
        <v>1044</v>
      </c>
      <c r="G232" s="4">
        <v>253</v>
      </c>
      <c r="H232" s="5">
        <v>0.27300000000000002</v>
      </c>
      <c r="I232" s="4">
        <v>20</v>
      </c>
      <c r="J232" s="4">
        <v>0</v>
      </c>
      <c r="K232" s="4">
        <v>4</v>
      </c>
      <c r="L232" s="4">
        <v>0</v>
      </c>
      <c r="M232" s="6"/>
      <c r="N232" s="10">
        <f t="shared" si="18"/>
        <v>0</v>
      </c>
      <c r="O232" s="10">
        <f t="shared" si="19"/>
        <v>0</v>
      </c>
      <c r="P232" s="10">
        <f t="shared" si="20"/>
        <v>0</v>
      </c>
      <c r="Q232" s="10">
        <f t="shared" si="20"/>
        <v>0.5</v>
      </c>
      <c r="R232" s="10">
        <f t="shared" si="21"/>
        <v>0</v>
      </c>
      <c r="S232" s="10">
        <f t="shared" si="22"/>
        <v>0.5</v>
      </c>
      <c r="T232" s="10" t="str">
        <f t="shared" si="23"/>
        <v>☆½</v>
      </c>
    </row>
    <row r="233" spans="1:20" s="4" customFormat="1" ht="20" thickBot="1" x14ac:dyDescent="0.3">
      <c r="A233" s="4" t="s">
        <v>369</v>
      </c>
      <c r="B233" s="4" t="s">
        <v>276</v>
      </c>
      <c r="C233" s="4" t="s">
        <v>109</v>
      </c>
      <c r="D233" s="4" t="s">
        <v>21</v>
      </c>
      <c r="E233" s="4">
        <v>26</v>
      </c>
      <c r="F233" s="4">
        <v>9</v>
      </c>
      <c r="G233" s="4">
        <v>0</v>
      </c>
      <c r="H233" s="11" t="s">
        <v>129</v>
      </c>
      <c r="I233" s="4">
        <v>0</v>
      </c>
      <c r="J233" s="4">
        <v>0</v>
      </c>
      <c r="K233" s="4">
        <v>0</v>
      </c>
      <c r="L233" s="4">
        <v>0</v>
      </c>
      <c r="M233" s="6"/>
      <c r="N233" s="10">
        <f t="shared" si="18"/>
        <v>0</v>
      </c>
      <c r="O233" s="10">
        <f t="shared" si="19"/>
        <v>0</v>
      </c>
      <c r="P233" s="10">
        <f t="shared" si="20"/>
        <v>0</v>
      </c>
      <c r="Q233" s="10">
        <f t="shared" si="20"/>
        <v>0.5</v>
      </c>
      <c r="R233" s="10">
        <f t="shared" si="21"/>
        <v>1</v>
      </c>
      <c r="S233" s="10">
        <f t="shared" si="22"/>
        <v>1.5</v>
      </c>
      <c r="T233" s="10" t="str">
        <f t="shared" si="23"/>
        <v>★½</v>
      </c>
    </row>
    <row r="234" spans="1:20" s="4" customFormat="1" ht="20" thickBot="1" x14ac:dyDescent="0.3">
      <c r="A234" s="4" t="s">
        <v>370</v>
      </c>
      <c r="B234" s="4" t="s">
        <v>124</v>
      </c>
      <c r="C234" s="4" t="s">
        <v>116</v>
      </c>
      <c r="D234" s="4" t="s">
        <v>63</v>
      </c>
      <c r="E234" s="4">
        <v>28</v>
      </c>
      <c r="F234" s="4">
        <v>2025</v>
      </c>
      <c r="G234" s="4">
        <v>291</v>
      </c>
      <c r="H234" s="5">
        <v>0.35399999999999998</v>
      </c>
      <c r="I234" s="4">
        <v>28</v>
      </c>
      <c r="J234" s="4">
        <v>3</v>
      </c>
      <c r="K234" s="4">
        <v>6</v>
      </c>
      <c r="L234" s="4">
        <v>0</v>
      </c>
      <c r="M234" s="6"/>
      <c r="N234" s="10">
        <f t="shared" si="18"/>
        <v>1</v>
      </c>
      <c r="O234" s="10">
        <f t="shared" si="19"/>
        <v>1</v>
      </c>
      <c r="P234" s="10">
        <f t="shared" si="20"/>
        <v>0.5</v>
      </c>
      <c r="Q234" s="10">
        <f t="shared" si="20"/>
        <v>1</v>
      </c>
      <c r="R234" s="10">
        <f t="shared" si="21"/>
        <v>0</v>
      </c>
      <c r="S234" s="10">
        <f t="shared" si="22"/>
        <v>3.5</v>
      </c>
      <c r="T234" s="10" t="str">
        <f t="shared" si="23"/>
        <v>★★★½</v>
      </c>
    </row>
    <row r="235" spans="1:20" s="4" customFormat="1" ht="20" thickBot="1" x14ac:dyDescent="0.3">
      <c r="A235" s="4" t="s">
        <v>371</v>
      </c>
      <c r="B235" s="4" t="s">
        <v>83</v>
      </c>
      <c r="C235" s="4" t="s">
        <v>109</v>
      </c>
      <c r="D235" s="4" t="s">
        <v>87</v>
      </c>
      <c r="E235" s="4">
        <v>27</v>
      </c>
      <c r="F235" s="4">
        <v>990</v>
      </c>
      <c r="G235" s="4">
        <v>194</v>
      </c>
      <c r="H235" s="7">
        <v>0.32</v>
      </c>
      <c r="I235" s="4">
        <v>27</v>
      </c>
      <c r="J235" s="4">
        <v>4</v>
      </c>
      <c r="K235" s="4">
        <v>3</v>
      </c>
      <c r="L235" s="4">
        <v>0</v>
      </c>
      <c r="M235" s="6"/>
      <c r="N235" s="10">
        <f t="shared" si="18"/>
        <v>0</v>
      </c>
      <c r="O235" s="10">
        <f t="shared" si="19"/>
        <v>0.5</v>
      </c>
      <c r="P235" s="10">
        <f t="shared" si="20"/>
        <v>0</v>
      </c>
      <c r="Q235" s="10">
        <f t="shared" si="20"/>
        <v>1</v>
      </c>
      <c r="R235" s="10">
        <f t="shared" si="21"/>
        <v>0</v>
      </c>
      <c r="S235" s="10">
        <f t="shared" si="22"/>
        <v>1.5</v>
      </c>
      <c r="T235" s="10" t="str">
        <f t="shared" si="23"/>
        <v>★½</v>
      </c>
    </row>
    <row r="236" spans="1:20" s="4" customFormat="1" ht="20" thickBot="1" x14ac:dyDescent="0.3">
      <c r="A236" s="4" t="s">
        <v>372</v>
      </c>
      <c r="B236" s="4" t="s">
        <v>17</v>
      </c>
      <c r="C236" s="4" t="s">
        <v>109</v>
      </c>
      <c r="D236" s="4" t="s">
        <v>33</v>
      </c>
      <c r="E236" s="4">
        <v>23</v>
      </c>
      <c r="F236" s="4">
        <v>1620</v>
      </c>
      <c r="G236" s="4">
        <v>325</v>
      </c>
      <c r="H236" s="5">
        <v>0.26200000000000001</v>
      </c>
      <c r="I236" s="4">
        <v>30</v>
      </c>
      <c r="J236" s="4">
        <v>1</v>
      </c>
      <c r="K236" s="4">
        <v>3</v>
      </c>
      <c r="L236" s="4">
        <v>0</v>
      </c>
      <c r="M236" s="6"/>
      <c r="N236" s="10">
        <f t="shared" si="18"/>
        <v>1</v>
      </c>
      <c r="O236" s="10">
        <f t="shared" si="19"/>
        <v>0</v>
      </c>
      <c r="P236" s="10">
        <f t="shared" si="20"/>
        <v>1</v>
      </c>
      <c r="Q236" s="10">
        <f t="shared" si="20"/>
        <v>0.5</v>
      </c>
      <c r="R236" s="10">
        <f t="shared" si="21"/>
        <v>0</v>
      </c>
      <c r="S236" s="10">
        <f t="shared" si="22"/>
        <v>2.5</v>
      </c>
      <c r="T236" s="10" t="str">
        <f t="shared" si="23"/>
        <v>★★½</v>
      </c>
    </row>
    <row r="237" spans="1:20" s="4" customFormat="1" ht="20" thickBot="1" x14ac:dyDescent="0.3">
      <c r="A237" s="4" t="s">
        <v>373</v>
      </c>
      <c r="B237" s="4" t="s">
        <v>29</v>
      </c>
      <c r="C237" s="4" t="s">
        <v>116</v>
      </c>
      <c r="D237" s="4" t="s">
        <v>58</v>
      </c>
      <c r="E237" s="4">
        <v>25</v>
      </c>
      <c r="F237" s="4">
        <v>1593</v>
      </c>
      <c r="G237" s="4">
        <v>504</v>
      </c>
      <c r="H237" s="5">
        <v>0.29599999999999999</v>
      </c>
      <c r="I237" s="4">
        <v>42</v>
      </c>
      <c r="J237" s="4">
        <v>1</v>
      </c>
      <c r="K237" s="4">
        <v>4</v>
      </c>
      <c r="L237" s="4">
        <v>0</v>
      </c>
      <c r="M237" s="6"/>
      <c r="N237" s="10">
        <f t="shared" si="18"/>
        <v>1</v>
      </c>
      <c r="O237" s="10">
        <f t="shared" si="19"/>
        <v>0</v>
      </c>
      <c r="P237" s="10">
        <f t="shared" si="20"/>
        <v>1</v>
      </c>
      <c r="Q237" s="10">
        <f t="shared" si="20"/>
        <v>0.5</v>
      </c>
      <c r="R237" s="10">
        <f t="shared" si="21"/>
        <v>0</v>
      </c>
      <c r="S237" s="10">
        <f t="shared" si="22"/>
        <v>2.5</v>
      </c>
      <c r="T237" s="10" t="str">
        <f t="shared" si="23"/>
        <v>★★½</v>
      </c>
    </row>
    <row r="238" spans="1:20" s="4" customFormat="1" ht="20" thickBot="1" x14ac:dyDescent="0.3">
      <c r="A238" s="4" t="s">
        <v>374</v>
      </c>
      <c r="B238" s="4" t="s">
        <v>60</v>
      </c>
      <c r="C238" s="4" t="s">
        <v>109</v>
      </c>
      <c r="D238" s="4" t="s">
        <v>53</v>
      </c>
      <c r="E238" s="4">
        <v>32</v>
      </c>
      <c r="F238" s="4">
        <v>729</v>
      </c>
      <c r="G238" s="4">
        <v>143</v>
      </c>
      <c r="H238" s="7">
        <v>0.28000000000000003</v>
      </c>
      <c r="I238" s="4">
        <v>25</v>
      </c>
      <c r="J238" s="4">
        <v>1</v>
      </c>
      <c r="K238" s="4">
        <v>1</v>
      </c>
      <c r="L238" s="4">
        <v>0</v>
      </c>
      <c r="M238" s="6"/>
      <c r="N238" s="10">
        <f t="shared" si="18"/>
        <v>0</v>
      </c>
      <c r="O238" s="10">
        <f t="shared" si="19"/>
        <v>0</v>
      </c>
      <c r="P238" s="10">
        <f t="shared" si="20"/>
        <v>0</v>
      </c>
      <c r="Q238" s="10">
        <f t="shared" si="20"/>
        <v>0.5</v>
      </c>
      <c r="R238" s="10">
        <f t="shared" si="21"/>
        <v>1</v>
      </c>
      <c r="S238" s="10">
        <f t="shared" si="22"/>
        <v>1.5</v>
      </c>
      <c r="T238" s="10" t="str">
        <f t="shared" si="23"/>
        <v>★½</v>
      </c>
    </row>
    <row r="239" spans="1:20" s="4" customFormat="1" ht="20" thickBot="1" x14ac:dyDescent="0.3">
      <c r="A239" s="4" t="s">
        <v>375</v>
      </c>
      <c r="B239" s="4" t="s">
        <v>376</v>
      </c>
      <c r="C239" s="4" t="s">
        <v>109</v>
      </c>
      <c r="D239" s="4" t="s">
        <v>43</v>
      </c>
      <c r="E239" s="4">
        <v>28</v>
      </c>
      <c r="F239" s="4">
        <v>2691</v>
      </c>
      <c r="G239" s="4">
        <v>281</v>
      </c>
      <c r="H239" s="5">
        <v>0.36299999999999999</v>
      </c>
      <c r="I239" s="4">
        <v>49</v>
      </c>
      <c r="J239" s="4">
        <v>2</v>
      </c>
      <c r="K239" s="4">
        <v>1</v>
      </c>
      <c r="L239" s="4">
        <v>0</v>
      </c>
      <c r="M239" s="6"/>
      <c r="N239" s="10">
        <f t="shared" si="18"/>
        <v>1</v>
      </c>
      <c r="O239" s="10">
        <f t="shared" si="19"/>
        <v>1</v>
      </c>
      <c r="P239" s="10">
        <f t="shared" si="20"/>
        <v>1</v>
      </c>
      <c r="Q239" s="10">
        <f t="shared" si="20"/>
        <v>0.5</v>
      </c>
      <c r="R239" s="10">
        <f t="shared" si="21"/>
        <v>1</v>
      </c>
      <c r="S239" s="10">
        <f t="shared" si="22"/>
        <v>4.5</v>
      </c>
      <c r="T239" s="10" t="str">
        <f t="shared" si="23"/>
        <v>★★★★½</v>
      </c>
    </row>
    <row r="240" spans="1:20" s="4" customFormat="1" ht="20" thickBot="1" x14ac:dyDescent="0.3">
      <c r="A240" s="4" t="s">
        <v>377</v>
      </c>
      <c r="B240" s="4" t="s">
        <v>165</v>
      </c>
      <c r="C240" s="4" t="s">
        <v>116</v>
      </c>
      <c r="D240" s="4" t="s">
        <v>27</v>
      </c>
      <c r="E240" s="4">
        <v>17</v>
      </c>
      <c r="F240" s="4">
        <v>18</v>
      </c>
      <c r="G240" s="4">
        <v>8</v>
      </c>
      <c r="H240" s="5">
        <v>0.125</v>
      </c>
      <c r="I240" s="4">
        <v>1</v>
      </c>
      <c r="J240" s="4">
        <v>0</v>
      </c>
      <c r="K240" s="4">
        <v>0</v>
      </c>
      <c r="L240" s="4">
        <v>0</v>
      </c>
      <c r="M240" s="6"/>
      <c r="N240" s="10">
        <f t="shared" si="18"/>
        <v>0</v>
      </c>
      <c r="O240" s="10">
        <f t="shared" si="19"/>
        <v>0</v>
      </c>
      <c r="P240" s="10">
        <f t="shared" si="20"/>
        <v>0</v>
      </c>
      <c r="Q240" s="10">
        <f t="shared" si="20"/>
        <v>0.5</v>
      </c>
      <c r="R240" s="10">
        <f t="shared" si="21"/>
        <v>1</v>
      </c>
      <c r="S240" s="10">
        <f t="shared" si="22"/>
        <v>1.5</v>
      </c>
      <c r="T240" s="10" t="str">
        <f t="shared" si="23"/>
        <v>★½</v>
      </c>
    </row>
    <row r="241" spans="1:20" s="4" customFormat="1" ht="20" thickBot="1" x14ac:dyDescent="0.3">
      <c r="A241" s="4" t="s">
        <v>378</v>
      </c>
      <c r="B241" s="4" t="s">
        <v>29</v>
      </c>
      <c r="C241" s="4" t="s">
        <v>116</v>
      </c>
      <c r="D241" s="4" t="s">
        <v>69</v>
      </c>
      <c r="E241" s="4">
        <v>20</v>
      </c>
      <c r="F241" s="4">
        <v>2466</v>
      </c>
      <c r="G241" s="4">
        <v>547</v>
      </c>
      <c r="H241" s="5">
        <v>0.27100000000000002</v>
      </c>
      <c r="I241" s="4">
        <v>41</v>
      </c>
      <c r="J241" s="4">
        <v>7</v>
      </c>
      <c r="K241" s="4">
        <v>6</v>
      </c>
      <c r="L241" s="4">
        <v>0</v>
      </c>
      <c r="M241" s="6"/>
      <c r="N241" s="10">
        <f t="shared" si="18"/>
        <v>1</v>
      </c>
      <c r="O241" s="10">
        <f t="shared" si="19"/>
        <v>0</v>
      </c>
      <c r="P241" s="10">
        <f t="shared" si="20"/>
        <v>1</v>
      </c>
      <c r="Q241" s="10">
        <f t="shared" si="20"/>
        <v>1</v>
      </c>
      <c r="R241" s="10">
        <f t="shared" si="21"/>
        <v>0</v>
      </c>
      <c r="S241" s="10">
        <f t="shared" si="22"/>
        <v>3</v>
      </c>
      <c r="T241" s="10" t="str">
        <f t="shared" si="23"/>
        <v>★★★</v>
      </c>
    </row>
    <row r="242" spans="1:20" s="4" customFormat="1" ht="20" thickBot="1" x14ac:dyDescent="0.3">
      <c r="A242" s="4" t="s">
        <v>379</v>
      </c>
      <c r="B242" s="4" t="s">
        <v>20</v>
      </c>
      <c r="C242" s="4" t="s">
        <v>109</v>
      </c>
      <c r="D242" s="4" t="s">
        <v>65</v>
      </c>
      <c r="E242" s="4">
        <v>24</v>
      </c>
      <c r="F242" s="4">
        <v>1917</v>
      </c>
      <c r="G242" s="4">
        <v>298</v>
      </c>
      <c r="H242" s="5">
        <v>0.29899999999999999</v>
      </c>
      <c r="I242" s="4">
        <v>32</v>
      </c>
      <c r="J242" s="4">
        <v>5</v>
      </c>
      <c r="K242" s="4">
        <v>4</v>
      </c>
      <c r="L242" s="4">
        <v>0</v>
      </c>
      <c r="M242" s="6"/>
      <c r="N242" s="10">
        <f t="shared" si="18"/>
        <v>1</v>
      </c>
      <c r="O242" s="10">
        <f t="shared" si="19"/>
        <v>0</v>
      </c>
      <c r="P242" s="10">
        <f t="shared" si="20"/>
        <v>1</v>
      </c>
      <c r="Q242" s="10">
        <f t="shared" si="20"/>
        <v>1</v>
      </c>
      <c r="R242" s="10">
        <f t="shared" si="21"/>
        <v>0</v>
      </c>
      <c r="S242" s="10">
        <f t="shared" si="22"/>
        <v>3</v>
      </c>
      <c r="T242" s="10" t="str">
        <f t="shared" si="23"/>
        <v>★★★</v>
      </c>
    </row>
    <row r="243" spans="1:20" s="4" customFormat="1" ht="20" thickBot="1" x14ac:dyDescent="0.3">
      <c r="A243" s="4" t="s">
        <v>380</v>
      </c>
      <c r="B243" s="4" t="s">
        <v>29</v>
      </c>
      <c r="C243" s="4" t="s">
        <v>116</v>
      </c>
      <c r="D243" s="4" t="s">
        <v>18</v>
      </c>
      <c r="E243" s="4">
        <v>22</v>
      </c>
      <c r="F243" s="4">
        <v>3176.9999999999995</v>
      </c>
      <c r="G243" s="4">
        <v>476</v>
      </c>
      <c r="H243" s="5">
        <v>0.32400000000000001</v>
      </c>
      <c r="I243" s="4">
        <v>60</v>
      </c>
      <c r="J243" s="4">
        <v>5</v>
      </c>
      <c r="K243" s="4">
        <v>8</v>
      </c>
      <c r="L243" s="4">
        <v>0</v>
      </c>
      <c r="M243" s="6"/>
      <c r="N243" s="10">
        <f t="shared" si="18"/>
        <v>1</v>
      </c>
      <c r="O243" s="10">
        <f t="shared" si="19"/>
        <v>1</v>
      </c>
      <c r="P243" s="10">
        <f t="shared" si="20"/>
        <v>1</v>
      </c>
      <c r="Q243" s="10">
        <f t="shared" si="20"/>
        <v>1</v>
      </c>
      <c r="R243" s="10">
        <f t="shared" si="21"/>
        <v>0</v>
      </c>
      <c r="S243" s="10">
        <f t="shared" si="22"/>
        <v>4</v>
      </c>
      <c r="T243" s="10" t="str">
        <f t="shared" si="23"/>
        <v>★★★★</v>
      </c>
    </row>
    <row r="244" spans="1:20" s="4" customFormat="1" ht="20" thickBot="1" x14ac:dyDescent="0.3">
      <c r="A244" s="4" t="s">
        <v>381</v>
      </c>
      <c r="B244" s="4" t="s">
        <v>60</v>
      </c>
      <c r="C244" s="4" t="s">
        <v>116</v>
      </c>
      <c r="D244" s="4" t="s">
        <v>30</v>
      </c>
      <c r="E244" s="4">
        <v>24</v>
      </c>
      <c r="F244" s="4">
        <v>117</v>
      </c>
      <c r="G244" s="4">
        <v>11</v>
      </c>
      <c r="H244" s="5">
        <v>0.27300000000000002</v>
      </c>
      <c r="I244" s="4">
        <v>4</v>
      </c>
      <c r="J244" s="4">
        <v>0</v>
      </c>
      <c r="K244" s="4">
        <v>0</v>
      </c>
      <c r="L244" s="4">
        <v>0</v>
      </c>
      <c r="M244" s="6"/>
      <c r="N244" s="10">
        <f t="shared" si="18"/>
        <v>0</v>
      </c>
      <c r="O244" s="10">
        <f t="shared" si="19"/>
        <v>0</v>
      </c>
      <c r="P244" s="10">
        <f t="shared" si="20"/>
        <v>0</v>
      </c>
      <c r="Q244" s="10">
        <f t="shared" si="20"/>
        <v>0.5</v>
      </c>
      <c r="R244" s="10">
        <f t="shared" si="21"/>
        <v>1</v>
      </c>
      <c r="S244" s="10">
        <f t="shared" si="22"/>
        <v>1.5</v>
      </c>
      <c r="T244" s="10" t="str">
        <f t="shared" si="23"/>
        <v>★½</v>
      </c>
    </row>
    <row r="245" spans="1:20" s="4" customFormat="1" ht="20" thickBot="1" x14ac:dyDescent="0.3">
      <c r="A245" s="4" t="s">
        <v>382</v>
      </c>
      <c r="B245" s="4" t="s">
        <v>127</v>
      </c>
      <c r="C245" s="4" t="s">
        <v>109</v>
      </c>
      <c r="D245" s="4" t="s">
        <v>35</v>
      </c>
      <c r="E245" s="4">
        <v>31</v>
      </c>
      <c r="F245" s="4">
        <v>1341</v>
      </c>
      <c r="G245" s="4">
        <v>153</v>
      </c>
      <c r="H245" s="5">
        <v>0.307</v>
      </c>
      <c r="I245" s="4">
        <v>28</v>
      </c>
      <c r="J245" s="4">
        <v>2</v>
      </c>
      <c r="K245" s="4">
        <v>5</v>
      </c>
      <c r="L245" s="4">
        <v>0</v>
      </c>
      <c r="M245" s="6"/>
      <c r="N245" s="10">
        <f t="shared" si="18"/>
        <v>0</v>
      </c>
      <c r="O245" s="10">
        <f t="shared" si="19"/>
        <v>0</v>
      </c>
      <c r="P245" s="10">
        <f t="shared" si="20"/>
        <v>0.5</v>
      </c>
      <c r="Q245" s="10">
        <f t="shared" si="20"/>
        <v>0.5</v>
      </c>
      <c r="R245" s="10">
        <f t="shared" si="21"/>
        <v>0</v>
      </c>
      <c r="S245" s="10">
        <f t="shared" si="22"/>
        <v>1</v>
      </c>
      <c r="T245" s="10" t="str">
        <f t="shared" si="23"/>
        <v>★</v>
      </c>
    </row>
    <row r="246" spans="1:20" s="4" customFormat="1" ht="20" thickBot="1" x14ac:dyDescent="0.3">
      <c r="A246" s="4" t="s">
        <v>383</v>
      </c>
      <c r="B246" s="4" t="s">
        <v>52</v>
      </c>
      <c r="C246" s="4" t="s">
        <v>109</v>
      </c>
      <c r="D246" s="4" t="s">
        <v>53</v>
      </c>
      <c r="E246" s="4">
        <v>25</v>
      </c>
      <c r="F246" s="4">
        <v>1692</v>
      </c>
      <c r="G246" s="4">
        <v>157</v>
      </c>
      <c r="H246" s="5">
        <v>0.29299999999999998</v>
      </c>
      <c r="I246" s="4">
        <v>49</v>
      </c>
      <c r="J246" s="4">
        <v>2</v>
      </c>
      <c r="K246" s="4">
        <v>2</v>
      </c>
      <c r="L246" s="4">
        <v>0</v>
      </c>
      <c r="M246" s="6"/>
      <c r="N246" s="10">
        <f t="shared" si="18"/>
        <v>1</v>
      </c>
      <c r="O246" s="10">
        <f t="shared" si="19"/>
        <v>0</v>
      </c>
      <c r="P246" s="10">
        <f t="shared" si="20"/>
        <v>1</v>
      </c>
      <c r="Q246" s="10">
        <f t="shared" si="20"/>
        <v>0.5</v>
      </c>
      <c r="R246" s="10">
        <f t="shared" si="21"/>
        <v>1</v>
      </c>
      <c r="S246" s="10">
        <f t="shared" si="22"/>
        <v>3.5</v>
      </c>
      <c r="T246" s="10" t="str">
        <f t="shared" si="23"/>
        <v>★★★½</v>
      </c>
    </row>
    <row r="247" spans="1:20" s="4" customFormat="1" ht="20" thickBot="1" x14ac:dyDescent="0.3">
      <c r="A247" s="4" t="s">
        <v>384</v>
      </c>
      <c r="B247" s="4" t="s">
        <v>127</v>
      </c>
      <c r="C247" s="4" t="s">
        <v>109</v>
      </c>
      <c r="D247" s="4" t="s">
        <v>15</v>
      </c>
      <c r="E247" s="4">
        <v>27</v>
      </c>
      <c r="F247" s="4">
        <v>2538</v>
      </c>
      <c r="G247" s="4">
        <v>284</v>
      </c>
      <c r="H247" s="5">
        <v>0.30299999999999999</v>
      </c>
      <c r="I247" s="4">
        <v>43</v>
      </c>
      <c r="J247" s="4">
        <v>13</v>
      </c>
      <c r="K247" s="4">
        <v>5</v>
      </c>
      <c r="L247" s="4">
        <v>1</v>
      </c>
      <c r="M247" s="6"/>
      <c r="N247" s="10">
        <f t="shared" si="18"/>
        <v>1</v>
      </c>
      <c r="O247" s="10">
        <f t="shared" si="19"/>
        <v>0</v>
      </c>
      <c r="P247" s="10">
        <f t="shared" si="20"/>
        <v>1</v>
      </c>
      <c r="Q247" s="10">
        <f t="shared" si="20"/>
        <v>1</v>
      </c>
      <c r="R247" s="10">
        <f t="shared" si="21"/>
        <v>0</v>
      </c>
      <c r="S247" s="10">
        <f t="shared" si="22"/>
        <v>3</v>
      </c>
      <c r="T247" s="10" t="str">
        <f t="shared" si="23"/>
        <v>★★★</v>
      </c>
    </row>
    <row r="248" spans="1:20" s="4" customFormat="1" ht="20" thickBot="1" x14ac:dyDescent="0.3">
      <c r="A248" s="4" t="s">
        <v>385</v>
      </c>
      <c r="B248" s="4" t="s">
        <v>52</v>
      </c>
      <c r="C248" s="4" t="s">
        <v>109</v>
      </c>
      <c r="D248" s="4" t="s">
        <v>65</v>
      </c>
      <c r="E248" s="4">
        <v>23</v>
      </c>
      <c r="F248" s="4">
        <v>90</v>
      </c>
      <c r="G248" s="4">
        <v>7</v>
      </c>
      <c r="H248" s="5">
        <v>0.42899999999999999</v>
      </c>
      <c r="I248" s="4">
        <v>3</v>
      </c>
      <c r="J248" s="4">
        <v>0</v>
      </c>
      <c r="K248" s="4">
        <v>0</v>
      </c>
      <c r="L248" s="4">
        <v>0</v>
      </c>
      <c r="M248" s="6"/>
      <c r="N248" s="10">
        <f t="shared" si="18"/>
        <v>0</v>
      </c>
      <c r="O248" s="10">
        <f t="shared" si="19"/>
        <v>0</v>
      </c>
      <c r="P248" s="10">
        <f t="shared" si="20"/>
        <v>0</v>
      </c>
      <c r="Q248" s="10">
        <f t="shared" si="20"/>
        <v>0.5</v>
      </c>
      <c r="R248" s="10">
        <f t="shared" si="21"/>
        <v>1</v>
      </c>
      <c r="S248" s="10">
        <f t="shared" si="22"/>
        <v>1.5</v>
      </c>
      <c r="T248" s="10" t="str">
        <f t="shared" si="23"/>
        <v>★½</v>
      </c>
    </row>
    <row r="249" spans="1:20" s="4" customFormat="1" ht="20" thickBot="1" x14ac:dyDescent="0.3">
      <c r="A249" s="4" t="s">
        <v>386</v>
      </c>
      <c r="B249" s="4" t="s">
        <v>20</v>
      </c>
      <c r="C249" s="4" t="s">
        <v>116</v>
      </c>
      <c r="D249" s="4" t="s">
        <v>39</v>
      </c>
      <c r="E249" s="4">
        <v>25</v>
      </c>
      <c r="F249" s="4">
        <v>2880</v>
      </c>
      <c r="G249" s="4">
        <v>481</v>
      </c>
      <c r="H249" s="5">
        <v>0.35599999999999998</v>
      </c>
      <c r="I249" s="4">
        <v>48</v>
      </c>
      <c r="J249" s="4">
        <v>9</v>
      </c>
      <c r="K249" s="4">
        <v>5</v>
      </c>
      <c r="L249" s="4">
        <v>0</v>
      </c>
      <c r="M249" s="6"/>
      <c r="N249" s="10">
        <f t="shared" si="18"/>
        <v>1</v>
      </c>
      <c r="O249" s="10">
        <f t="shared" si="19"/>
        <v>1</v>
      </c>
      <c r="P249" s="10">
        <f t="shared" si="20"/>
        <v>1</v>
      </c>
      <c r="Q249" s="10">
        <f t="shared" si="20"/>
        <v>1</v>
      </c>
      <c r="R249" s="10">
        <f t="shared" si="21"/>
        <v>0</v>
      </c>
      <c r="S249" s="10">
        <f t="shared" si="22"/>
        <v>4</v>
      </c>
      <c r="T249" s="10" t="str">
        <f t="shared" si="23"/>
        <v>★★★★</v>
      </c>
    </row>
    <row r="250" spans="1:20" s="4" customFormat="1" ht="20" thickBot="1" x14ac:dyDescent="0.3">
      <c r="A250" s="4" t="s">
        <v>387</v>
      </c>
      <c r="B250" s="4" t="s">
        <v>67</v>
      </c>
      <c r="C250" s="4" t="s">
        <v>109</v>
      </c>
      <c r="D250" s="4" t="s">
        <v>43</v>
      </c>
      <c r="E250" s="4">
        <v>22</v>
      </c>
      <c r="F250" s="4">
        <v>1242</v>
      </c>
      <c r="G250" s="4">
        <v>173</v>
      </c>
      <c r="H250" s="5">
        <v>0.249</v>
      </c>
      <c r="I250" s="4">
        <v>31</v>
      </c>
      <c r="J250" s="4">
        <v>2</v>
      </c>
      <c r="K250" s="4">
        <v>1</v>
      </c>
      <c r="L250" s="4">
        <v>0</v>
      </c>
      <c r="M250" s="6"/>
      <c r="N250" s="10">
        <f t="shared" si="18"/>
        <v>0</v>
      </c>
      <c r="O250" s="10">
        <f t="shared" si="19"/>
        <v>0</v>
      </c>
      <c r="P250" s="10">
        <f t="shared" si="20"/>
        <v>1</v>
      </c>
      <c r="Q250" s="10">
        <f t="shared" si="20"/>
        <v>0.5</v>
      </c>
      <c r="R250" s="10">
        <f t="shared" si="21"/>
        <v>1</v>
      </c>
      <c r="S250" s="10">
        <f t="shared" si="22"/>
        <v>2.5</v>
      </c>
      <c r="T250" s="10" t="str">
        <f t="shared" si="23"/>
        <v>★★½</v>
      </c>
    </row>
    <row r="251" spans="1:20" s="4" customFormat="1" ht="20" thickBot="1" x14ac:dyDescent="0.3">
      <c r="A251" s="4" t="s">
        <v>388</v>
      </c>
      <c r="B251" s="4" t="s">
        <v>32</v>
      </c>
      <c r="C251" s="4" t="s">
        <v>109</v>
      </c>
      <c r="D251" s="4" t="s">
        <v>65</v>
      </c>
      <c r="E251" s="4">
        <v>23</v>
      </c>
      <c r="F251" s="4">
        <v>1845</v>
      </c>
      <c r="G251" s="4">
        <v>317</v>
      </c>
      <c r="H251" s="5">
        <v>0.35599999999999998</v>
      </c>
      <c r="I251" s="4">
        <v>50</v>
      </c>
      <c r="J251" s="4">
        <v>1</v>
      </c>
      <c r="K251" s="4">
        <v>8</v>
      </c>
      <c r="L251" s="4">
        <v>0</v>
      </c>
      <c r="M251" s="6"/>
      <c r="N251" s="10">
        <f t="shared" si="18"/>
        <v>1</v>
      </c>
      <c r="O251" s="10">
        <f t="shared" si="19"/>
        <v>1</v>
      </c>
      <c r="P251" s="10">
        <f t="shared" si="20"/>
        <v>1</v>
      </c>
      <c r="Q251" s="10">
        <f t="shared" si="20"/>
        <v>0.5</v>
      </c>
      <c r="R251" s="10">
        <f t="shared" si="21"/>
        <v>0</v>
      </c>
      <c r="S251" s="10">
        <f t="shared" si="22"/>
        <v>3.5</v>
      </c>
      <c r="T251" s="10" t="str">
        <f t="shared" si="23"/>
        <v>★★★½</v>
      </c>
    </row>
    <row r="252" spans="1:20" s="4" customFormat="1" ht="20" thickBot="1" x14ac:dyDescent="0.3">
      <c r="A252" s="4" t="s">
        <v>389</v>
      </c>
      <c r="B252" s="4" t="s">
        <v>20</v>
      </c>
      <c r="C252" s="4" t="s">
        <v>116</v>
      </c>
      <c r="D252" s="4" t="s">
        <v>33</v>
      </c>
      <c r="E252" s="4">
        <v>29</v>
      </c>
      <c r="F252" s="4">
        <v>2889</v>
      </c>
      <c r="G252" s="4">
        <v>564</v>
      </c>
      <c r="H252" s="5">
        <v>0.33900000000000002</v>
      </c>
      <c r="I252" s="4">
        <v>45</v>
      </c>
      <c r="J252" s="4">
        <v>4</v>
      </c>
      <c r="K252" s="4">
        <v>9</v>
      </c>
      <c r="L252" s="4">
        <v>0</v>
      </c>
      <c r="M252" s="6"/>
      <c r="N252" s="10">
        <f t="shared" si="18"/>
        <v>1</v>
      </c>
      <c r="O252" s="10">
        <f t="shared" si="19"/>
        <v>1</v>
      </c>
      <c r="P252" s="10">
        <f t="shared" si="20"/>
        <v>1</v>
      </c>
      <c r="Q252" s="10">
        <f t="shared" si="20"/>
        <v>1</v>
      </c>
      <c r="R252" s="10">
        <f t="shared" si="21"/>
        <v>0</v>
      </c>
      <c r="S252" s="10">
        <f t="shared" si="22"/>
        <v>4</v>
      </c>
      <c r="T252" s="10" t="str">
        <f t="shared" si="23"/>
        <v>★★★★</v>
      </c>
    </row>
    <row r="253" spans="1:20" s="4" customFormat="1" ht="20" thickBot="1" x14ac:dyDescent="0.3">
      <c r="A253" s="4" t="s">
        <v>390</v>
      </c>
      <c r="B253" s="4" t="s">
        <v>29</v>
      </c>
      <c r="C253" s="4" t="s">
        <v>109</v>
      </c>
      <c r="D253" s="4" t="s">
        <v>24</v>
      </c>
      <c r="E253" s="4">
        <v>31</v>
      </c>
      <c r="F253" s="4">
        <v>693</v>
      </c>
      <c r="G253" s="4">
        <v>85</v>
      </c>
      <c r="H253" s="7">
        <v>0.4</v>
      </c>
      <c r="I253" s="4">
        <v>14</v>
      </c>
      <c r="J253" s="4">
        <v>0</v>
      </c>
      <c r="K253" s="4">
        <v>4</v>
      </c>
      <c r="L253" s="4">
        <v>0</v>
      </c>
      <c r="M253" s="6"/>
      <c r="N253" s="10">
        <f t="shared" si="18"/>
        <v>0</v>
      </c>
      <c r="O253" s="10">
        <f t="shared" si="19"/>
        <v>0</v>
      </c>
      <c r="P253" s="10">
        <f t="shared" si="20"/>
        <v>0</v>
      </c>
      <c r="Q253" s="10">
        <f t="shared" si="20"/>
        <v>0.5</v>
      </c>
      <c r="R253" s="10">
        <f t="shared" si="21"/>
        <v>0</v>
      </c>
      <c r="S253" s="10">
        <f t="shared" si="22"/>
        <v>0.5</v>
      </c>
      <c r="T253" s="10" t="str">
        <f t="shared" si="23"/>
        <v>☆½</v>
      </c>
    </row>
    <row r="254" spans="1:20" s="4" customFormat="1" ht="20" thickBot="1" x14ac:dyDescent="0.3">
      <c r="A254" s="4" t="s">
        <v>391</v>
      </c>
      <c r="B254" s="4" t="s">
        <v>62</v>
      </c>
      <c r="C254" s="4" t="s">
        <v>109</v>
      </c>
      <c r="D254" s="4" t="s">
        <v>21</v>
      </c>
      <c r="E254" s="4">
        <v>28</v>
      </c>
      <c r="F254" s="4">
        <v>3033.0000000000005</v>
      </c>
      <c r="G254" s="4">
        <v>294</v>
      </c>
      <c r="H254" s="5">
        <v>0.313</v>
      </c>
      <c r="I254" s="4">
        <v>41</v>
      </c>
      <c r="J254" s="4">
        <v>3</v>
      </c>
      <c r="K254" s="4">
        <v>9</v>
      </c>
      <c r="L254" s="4">
        <v>0</v>
      </c>
      <c r="M254" s="6"/>
      <c r="N254" s="10">
        <f t="shared" si="18"/>
        <v>1</v>
      </c>
      <c r="O254" s="10">
        <f t="shared" si="19"/>
        <v>1</v>
      </c>
      <c r="P254" s="10">
        <f t="shared" si="20"/>
        <v>1</v>
      </c>
      <c r="Q254" s="10">
        <f t="shared" si="20"/>
        <v>1</v>
      </c>
      <c r="R254" s="10">
        <f t="shared" si="21"/>
        <v>0</v>
      </c>
      <c r="S254" s="10">
        <f t="shared" si="22"/>
        <v>4</v>
      </c>
      <c r="T254" s="10" t="str">
        <f t="shared" si="23"/>
        <v>★★★★</v>
      </c>
    </row>
    <row r="255" spans="1:20" s="4" customFormat="1" ht="20" thickBot="1" x14ac:dyDescent="0.3">
      <c r="A255" s="4" t="s">
        <v>392</v>
      </c>
      <c r="B255" s="4" t="s">
        <v>62</v>
      </c>
      <c r="C255" s="4" t="s">
        <v>116</v>
      </c>
      <c r="D255" s="4" t="s">
        <v>50</v>
      </c>
      <c r="E255" s="4">
        <v>30</v>
      </c>
      <c r="F255" s="4">
        <v>765</v>
      </c>
      <c r="G255" s="4">
        <v>172</v>
      </c>
      <c r="H255" s="5">
        <v>0.308</v>
      </c>
      <c r="I255" s="4">
        <v>8</v>
      </c>
      <c r="J255" s="4">
        <v>0</v>
      </c>
      <c r="K255" s="4">
        <v>0</v>
      </c>
      <c r="L255" s="4">
        <v>0</v>
      </c>
      <c r="M255" s="6"/>
      <c r="N255" s="10">
        <f t="shared" si="18"/>
        <v>0</v>
      </c>
      <c r="O255" s="10">
        <f t="shared" si="19"/>
        <v>0</v>
      </c>
      <c r="P255" s="10">
        <f t="shared" si="20"/>
        <v>0</v>
      </c>
      <c r="Q255" s="10">
        <f t="shared" si="20"/>
        <v>0.5</v>
      </c>
      <c r="R255" s="10">
        <f t="shared" si="21"/>
        <v>1</v>
      </c>
      <c r="S255" s="10">
        <f t="shared" si="22"/>
        <v>1.5</v>
      </c>
      <c r="T255" s="10" t="str">
        <f t="shared" si="23"/>
        <v>★½</v>
      </c>
    </row>
    <row r="256" spans="1:20" s="4" customFormat="1" ht="20" thickBot="1" x14ac:dyDescent="0.3">
      <c r="A256" s="4" t="s">
        <v>393</v>
      </c>
      <c r="B256" s="4" t="s">
        <v>317</v>
      </c>
      <c r="C256" s="4" t="s">
        <v>109</v>
      </c>
      <c r="D256" s="4" t="s">
        <v>81</v>
      </c>
      <c r="E256" s="4">
        <v>31</v>
      </c>
      <c r="F256" s="4">
        <v>2709</v>
      </c>
      <c r="G256" s="4">
        <v>283</v>
      </c>
      <c r="H256" s="5">
        <v>0.36399999999999999</v>
      </c>
      <c r="I256" s="4">
        <v>61</v>
      </c>
      <c r="J256" s="4">
        <v>2</v>
      </c>
      <c r="K256" s="4">
        <v>6</v>
      </c>
      <c r="L256" s="4">
        <v>0</v>
      </c>
      <c r="M256" s="6"/>
      <c r="N256" s="10">
        <f t="shared" si="18"/>
        <v>1</v>
      </c>
      <c r="O256" s="10">
        <f t="shared" si="19"/>
        <v>1</v>
      </c>
      <c r="P256" s="10">
        <f t="shared" si="20"/>
        <v>1</v>
      </c>
      <c r="Q256" s="10">
        <f t="shared" si="20"/>
        <v>0.5</v>
      </c>
      <c r="R256" s="10">
        <f t="shared" si="21"/>
        <v>0</v>
      </c>
      <c r="S256" s="10">
        <f t="shared" si="22"/>
        <v>3.5</v>
      </c>
      <c r="T256" s="10" t="str">
        <f t="shared" si="23"/>
        <v>★★★½</v>
      </c>
    </row>
    <row r="257" spans="1:20" s="4" customFormat="1" ht="20" thickBot="1" x14ac:dyDescent="0.3">
      <c r="A257" s="4" t="s">
        <v>394</v>
      </c>
      <c r="B257" s="4" t="s">
        <v>124</v>
      </c>
      <c r="C257" s="4" t="s">
        <v>109</v>
      </c>
      <c r="D257" s="4" t="s">
        <v>33</v>
      </c>
      <c r="E257" s="4">
        <v>22</v>
      </c>
      <c r="F257" s="4">
        <v>2970</v>
      </c>
      <c r="G257" s="4">
        <v>364</v>
      </c>
      <c r="H257" s="5">
        <v>0.40699999999999997</v>
      </c>
      <c r="I257" s="4">
        <v>69</v>
      </c>
      <c r="J257" s="4">
        <v>0</v>
      </c>
      <c r="K257" s="4">
        <v>10</v>
      </c>
      <c r="L257" s="4">
        <v>1</v>
      </c>
      <c r="M257" s="6"/>
      <c r="N257" s="10">
        <f t="shared" si="18"/>
        <v>1</v>
      </c>
      <c r="O257" s="10">
        <f t="shared" si="19"/>
        <v>1</v>
      </c>
      <c r="P257" s="10">
        <f t="shared" si="20"/>
        <v>1</v>
      </c>
      <c r="Q257" s="10">
        <f t="shared" si="20"/>
        <v>0.5</v>
      </c>
      <c r="R257" s="10">
        <f t="shared" si="21"/>
        <v>0</v>
      </c>
      <c r="S257" s="10">
        <f t="shared" si="22"/>
        <v>3.5</v>
      </c>
      <c r="T257" s="10" t="str">
        <f t="shared" si="23"/>
        <v>★★★½</v>
      </c>
    </row>
    <row r="258" spans="1:20" s="4" customFormat="1" ht="20" thickBot="1" x14ac:dyDescent="0.3">
      <c r="A258" s="4" t="s">
        <v>395</v>
      </c>
      <c r="B258" s="4" t="s">
        <v>162</v>
      </c>
      <c r="C258" s="4" t="s">
        <v>116</v>
      </c>
      <c r="D258" s="4" t="s">
        <v>63</v>
      </c>
      <c r="E258" s="4">
        <v>21</v>
      </c>
      <c r="F258" s="4">
        <v>1134</v>
      </c>
      <c r="G258" s="4">
        <v>138</v>
      </c>
      <c r="H258" s="5">
        <v>0.34100000000000003</v>
      </c>
      <c r="I258" s="4">
        <v>18</v>
      </c>
      <c r="J258" s="4">
        <v>0</v>
      </c>
      <c r="K258" s="4">
        <v>5</v>
      </c>
      <c r="L258" s="4">
        <v>0</v>
      </c>
      <c r="M258" s="6"/>
      <c r="N258" s="10">
        <f t="shared" si="18"/>
        <v>0</v>
      </c>
      <c r="O258" s="10">
        <f t="shared" si="19"/>
        <v>0</v>
      </c>
      <c r="P258" s="10">
        <f t="shared" si="20"/>
        <v>0</v>
      </c>
      <c r="Q258" s="10">
        <f t="shared" si="20"/>
        <v>0.5</v>
      </c>
      <c r="R258" s="10">
        <f t="shared" si="21"/>
        <v>0</v>
      </c>
      <c r="S258" s="10">
        <f t="shared" si="22"/>
        <v>0.5</v>
      </c>
      <c r="T258" s="10" t="str">
        <f t="shared" si="23"/>
        <v>☆½</v>
      </c>
    </row>
    <row r="259" spans="1:20" s="4" customFormat="1" ht="20" thickBot="1" x14ac:dyDescent="0.3">
      <c r="A259" s="4" t="s">
        <v>396</v>
      </c>
      <c r="B259" s="4" t="s">
        <v>122</v>
      </c>
      <c r="C259" s="4" t="s">
        <v>109</v>
      </c>
      <c r="D259" s="4" t="s">
        <v>65</v>
      </c>
      <c r="E259" s="4">
        <v>25</v>
      </c>
      <c r="F259" s="4">
        <v>1629.0000000000002</v>
      </c>
      <c r="G259" s="4">
        <v>186</v>
      </c>
      <c r="H259" s="5">
        <v>0.35499999999999998</v>
      </c>
      <c r="I259" s="4">
        <v>35</v>
      </c>
      <c r="J259" s="4">
        <v>2</v>
      </c>
      <c r="K259" s="4">
        <v>4</v>
      </c>
      <c r="L259" s="4">
        <v>0</v>
      </c>
      <c r="M259" s="6"/>
      <c r="N259" s="10">
        <f t="shared" ref="N259:N322" si="24">IFERROR(_xlfn.IFS(F259&gt;=F$326,1,F259&gt;=F$325,0.5),0)</f>
        <v>1</v>
      </c>
      <c r="O259" s="10">
        <f t="shared" ref="O259:O322" si="25">IFERROR(_xlfn.IFS(AND(G259&gt;=G$326,H259&gt;=H$326),1,AND(G259&gt;=G$325,H259&gt;=H$325),0.5),0)</f>
        <v>0.5</v>
      </c>
      <c r="P259" s="10">
        <f t="shared" ref="P259:Q322" si="26">IFERROR(_xlfn.IFS(I259&gt;=I$326,1,I259&gt;=I$325,0.5),0)</f>
        <v>1</v>
      </c>
      <c r="Q259" s="10">
        <f t="shared" si="26"/>
        <v>0.5</v>
      </c>
      <c r="R259" s="10">
        <f t="shared" ref="R259:R322" si="27">IFERROR(_xlfn.IFS(AND(K259&lt;=K$326,L259&lt;=L$326),1,AND(K259&lt;=K$325,L259&lt;=L$325),0.5),0)</f>
        <v>0</v>
      </c>
      <c r="S259" s="10">
        <f t="shared" ref="S259:S322" si="28">SUM(N259:R259)</f>
        <v>3</v>
      </c>
      <c r="T259" s="10" t="str">
        <f t="shared" ref="T259:T322" si="29">_xlfn.IFS(S259=0,"☆",S259=0.5,"☆½",  S259=1,"★",S259 =1.5,"★½", S259 =2.5,"★★½", S259=2,"★★", S259=3,"★★★", S259 =3.5,"★★★½",S259=4,"★★★★", S259 =4.5,"★★★★½", S259=5,"★★★★★")</f>
        <v>★★★</v>
      </c>
    </row>
    <row r="260" spans="1:20" s="4" customFormat="1" ht="20" thickBot="1" x14ac:dyDescent="0.3">
      <c r="A260" s="4" t="s">
        <v>397</v>
      </c>
      <c r="B260" s="4" t="s">
        <v>17</v>
      </c>
      <c r="C260" s="4" t="s">
        <v>116</v>
      </c>
      <c r="D260" s="4" t="s">
        <v>69</v>
      </c>
      <c r="E260" s="4">
        <v>26</v>
      </c>
      <c r="F260" s="4">
        <v>360</v>
      </c>
      <c r="G260" s="4">
        <v>135</v>
      </c>
      <c r="H260" s="5">
        <v>0.34100000000000003</v>
      </c>
      <c r="I260" s="4">
        <v>15</v>
      </c>
      <c r="J260" s="4">
        <v>0</v>
      </c>
      <c r="K260" s="4">
        <v>0</v>
      </c>
      <c r="L260" s="4">
        <v>0</v>
      </c>
      <c r="M260" s="6"/>
      <c r="N260" s="10">
        <f t="shared" si="24"/>
        <v>0</v>
      </c>
      <c r="O260" s="10">
        <f t="shared" si="25"/>
        <v>0</v>
      </c>
      <c r="P260" s="10">
        <f t="shared" si="26"/>
        <v>0</v>
      </c>
      <c r="Q260" s="10">
        <f t="shared" si="26"/>
        <v>0.5</v>
      </c>
      <c r="R260" s="10">
        <f t="shared" si="27"/>
        <v>1</v>
      </c>
      <c r="S260" s="10">
        <f t="shared" si="28"/>
        <v>1.5</v>
      </c>
      <c r="T260" s="10" t="str">
        <f t="shared" si="29"/>
        <v>★½</v>
      </c>
    </row>
    <row r="261" spans="1:20" s="4" customFormat="1" ht="20" thickBot="1" x14ac:dyDescent="0.3">
      <c r="A261" s="4" t="s">
        <v>398</v>
      </c>
      <c r="B261" s="4" t="s">
        <v>14</v>
      </c>
      <c r="C261" s="4" t="s">
        <v>109</v>
      </c>
      <c r="D261" s="4" t="s">
        <v>24</v>
      </c>
      <c r="E261" s="4">
        <v>26</v>
      </c>
      <c r="F261" s="4">
        <v>1674.0000000000002</v>
      </c>
      <c r="G261" s="4">
        <v>143</v>
      </c>
      <c r="H261" s="5">
        <v>0.371</v>
      </c>
      <c r="I261" s="4">
        <v>28</v>
      </c>
      <c r="J261" s="4">
        <v>0</v>
      </c>
      <c r="K261" s="4">
        <v>4</v>
      </c>
      <c r="L261" s="4">
        <v>0</v>
      </c>
      <c r="M261" s="6"/>
      <c r="N261" s="10">
        <f t="shared" si="24"/>
        <v>1</v>
      </c>
      <c r="O261" s="10">
        <f t="shared" si="25"/>
        <v>0</v>
      </c>
      <c r="P261" s="10">
        <f t="shared" si="26"/>
        <v>0.5</v>
      </c>
      <c r="Q261" s="10">
        <f t="shared" si="26"/>
        <v>0.5</v>
      </c>
      <c r="R261" s="10">
        <f t="shared" si="27"/>
        <v>0</v>
      </c>
      <c r="S261" s="10">
        <f t="shared" si="28"/>
        <v>2</v>
      </c>
      <c r="T261" s="10" t="str">
        <f t="shared" si="29"/>
        <v>★★</v>
      </c>
    </row>
    <row r="262" spans="1:20" s="4" customFormat="1" ht="20" thickBot="1" x14ac:dyDescent="0.3">
      <c r="A262" s="4" t="s">
        <v>399</v>
      </c>
      <c r="B262" s="4" t="s">
        <v>17</v>
      </c>
      <c r="C262" s="4" t="s">
        <v>109</v>
      </c>
      <c r="D262" s="4" t="s">
        <v>21</v>
      </c>
      <c r="E262" s="4">
        <v>22</v>
      </c>
      <c r="F262" s="4">
        <v>549</v>
      </c>
      <c r="G262" s="4">
        <v>68</v>
      </c>
      <c r="H262" s="5">
        <v>0.33800000000000002</v>
      </c>
      <c r="I262" s="4">
        <v>9</v>
      </c>
      <c r="J262" s="4">
        <v>0</v>
      </c>
      <c r="K262" s="4">
        <v>2</v>
      </c>
      <c r="L262" s="4">
        <v>0</v>
      </c>
      <c r="M262" s="6"/>
      <c r="N262" s="10">
        <f t="shared" si="24"/>
        <v>0</v>
      </c>
      <c r="O262" s="10">
        <f t="shared" si="25"/>
        <v>0</v>
      </c>
      <c r="P262" s="10">
        <f t="shared" si="26"/>
        <v>0</v>
      </c>
      <c r="Q262" s="10">
        <f t="shared" si="26"/>
        <v>0.5</v>
      </c>
      <c r="R262" s="10">
        <f t="shared" si="27"/>
        <v>1</v>
      </c>
      <c r="S262" s="10">
        <f t="shared" si="28"/>
        <v>1.5</v>
      </c>
      <c r="T262" s="10" t="str">
        <f t="shared" si="29"/>
        <v>★½</v>
      </c>
    </row>
    <row r="263" spans="1:20" s="4" customFormat="1" ht="20" thickBot="1" x14ac:dyDescent="0.3">
      <c r="A263" s="4" t="s">
        <v>400</v>
      </c>
      <c r="B263" s="4" t="s">
        <v>29</v>
      </c>
      <c r="C263" s="4" t="s">
        <v>116</v>
      </c>
      <c r="D263" s="4" t="s">
        <v>65</v>
      </c>
      <c r="E263" s="4">
        <v>17</v>
      </c>
      <c r="F263" s="4">
        <v>0</v>
      </c>
      <c r="G263" s="4">
        <v>2</v>
      </c>
      <c r="H263" s="7">
        <v>0</v>
      </c>
      <c r="I263" s="4">
        <v>0</v>
      </c>
      <c r="J263" s="4">
        <v>0</v>
      </c>
      <c r="K263" s="4">
        <v>0</v>
      </c>
      <c r="L263" s="4">
        <v>0</v>
      </c>
      <c r="M263" s="6"/>
      <c r="N263" s="10">
        <f t="shared" si="24"/>
        <v>0</v>
      </c>
      <c r="O263" s="10">
        <f t="shared" si="25"/>
        <v>0</v>
      </c>
      <c r="P263" s="10">
        <f t="shared" si="26"/>
        <v>0</v>
      </c>
      <c r="Q263" s="10">
        <f t="shared" si="26"/>
        <v>0.5</v>
      </c>
      <c r="R263" s="10">
        <f t="shared" si="27"/>
        <v>1</v>
      </c>
      <c r="S263" s="10">
        <f t="shared" si="28"/>
        <v>1.5</v>
      </c>
      <c r="T263" s="10" t="str">
        <f t="shared" si="29"/>
        <v>★½</v>
      </c>
    </row>
    <row r="264" spans="1:20" s="4" customFormat="1" ht="20" thickBot="1" x14ac:dyDescent="0.3">
      <c r="A264" s="4" t="s">
        <v>401</v>
      </c>
      <c r="B264" s="4" t="s">
        <v>402</v>
      </c>
      <c r="C264" s="4" t="s">
        <v>109</v>
      </c>
      <c r="D264" s="4" t="s">
        <v>35</v>
      </c>
      <c r="E264" s="4">
        <v>29</v>
      </c>
      <c r="F264" s="4">
        <v>2160</v>
      </c>
      <c r="G264" s="4">
        <v>151</v>
      </c>
      <c r="H264" s="5">
        <v>0.311</v>
      </c>
      <c r="I264" s="4">
        <v>37</v>
      </c>
      <c r="J264" s="4">
        <v>4</v>
      </c>
      <c r="K264" s="4">
        <v>4</v>
      </c>
      <c r="L264" s="4">
        <v>0</v>
      </c>
      <c r="M264" s="6"/>
      <c r="N264" s="10">
        <f t="shared" si="24"/>
        <v>1</v>
      </c>
      <c r="O264" s="10">
        <f t="shared" si="25"/>
        <v>0</v>
      </c>
      <c r="P264" s="10">
        <f t="shared" si="26"/>
        <v>1</v>
      </c>
      <c r="Q264" s="10">
        <f t="shared" si="26"/>
        <v>1</v>
      </c>
      <c r="R264" s="10">
        <f t="shared" si="27"/>
        <v>0</v>
      </c>
      <c r="S264" s="10">
        <f t="shared" si="28"/>
        <v>3</v>
      </c>
      <c r="T264" s="10" t="str">
        <f t="shared" si="29"/>
        <v>★★★</v>
      </c>
    </row>
    <row r="265" spans="1:20" s="4" customFormat="1" ht="20" thickBot="1" x14ac:dyDescent="0.3">
      <c r="A265" s="4" t="s">
        <v>403</v>
      </c>
      <c r="B265" s="4" t="s">
        <v>83</v>
      </c>
      <c r="C265" s="4" t="s">
        <v>109</v>
      </c>
      <c r="D265" s="4" t="s">
        <v>81</v>
      </c>
      <c r="E265" s="4">
        <v>27</v>
      </c>
      <c r="F265" s="4">
        <v>2133</v>
      </c>
      <c r="G265" s="4">
        <v>379</v>
      </c>
      <c r="H265" s="5">
        <v>0.28499999999999998</v>
      </c>
      <c r="I265" s="4">
        <v>43</v>
      </c>
      <c r="J265" s="4">
        <v>1</v>
      </c>
      <c r="K265" s="4">
        <v>1</v>
      </c>
      <c r="L265" s="4">
        <v>0</v>
      </c>
      <c r="M265" s="6"/>
      <c r="N265" s="10">
        <f t="shared" si="24"/>
        <v>1</v>
      </c>
      <c r="O265" s="10">
        <f t="shared" si="25"/>
        <v>0</v>
      </c>
      <c r="P265" s="10">
        <f t="shared" si="26"/>
        <v>1</v>
      </c>
      <c r="Q265" s="10">
        <f t="shared" si="26"/>
        <v>0.5</v>
      </c>
      <c r="R265" s="10">
        <f t="shared" si="27"/>
        <v>1</v>
      </c>
      <c r="S265" s="10">
        <f t="shared" si="28"/>
        <v>3.5</v>
      </c>
      <c r="T265" s="10" t="str">
        <f t="shared" si="29"/>
        <v>★★★½</v>
      </c>
    </row>
    <row r="266" spans="1:20" s="4" customFormat="1" ht="20" thickBot="1" x14ac:dyDescent="0.3">
      <c r="A266" s="4" t="s">
        <v>404</v>
      </c>
      <c r="B266" s="4" t="s">
        <v>29</v>
      </c>
      <c r="C266" s="4" t="s">
        <v>109</v>
      </c>
      <c r="D266" s="4" t="s">
        <v>65</v>
      </c>
      <c r="E266" s="4">
        <v>21</v>
      </c>
      <c r="F266" s="4">
        <v>1044</v>
      </c>
      <c r="G266" s="4">
        <v>230</v>
      </c>
      <c r="H266" s="5">
        <v>0.248</v>
      </c>
      <c r="I266" s="4">
        <v>30</v>
      </c>
      <c r="J266" s="4">
        <v>2</v>
      </c>
      <c r="K266" s="4">
        <v>2</v>
      </c>
      <c r="L266" s="4">
        <v>0</v>
      </c>
      <c r="M266" s="6"/>
      <c r="N266" s="10">
        <f t="shared" si="24"/>
        <v>0</v>
      </c>
      <c r="O266" s="10">
        <f t="shared" si="25"/>
        <v>0</v>
      </c>
      <c r="P266" s="10">
        <f t="shared" si="26"/>
        <v>1</v>
      </c>
      <c r="Q266" s="10">
        <f t="shared" si="26"/>
        <v>0.5</v>
      </c>
      <c r="R266" s="10">
        <f t="shared" si="27"/>
        <v>1</v>
      </c>
      <c r="S266" s="10">
        <f t="shared" si="28"/>
        <v>2.5</v>
      </c>
      <c r="T266" s="10" t="str">
        <f t="shared" si="29"/>
        <v>★★½</v>
      </c>
    </row>
    <row r="267" spans="1:20" s="4" customFormat="1" ht="20" thickBot="1" x14ac:dyDescent="0.3">
      <c r="A267" s="4" t="s">
        <v>405</v>
      </c>
      <c r="B267" s="4" t="s">
        <v>29</v>
      </c>
      <c r="C267" s="4" t="s">
        <v>171</v>
      </c>
      <c r="D267" s="4" t="s">
        <v>58</v>
      </c>
      <c r="E267" s="4">
        <v>21</v>
      </c>
      <c r="F267" s="4">
        <v>711</v>
      </c>
      <c r="G267" s="4">
        <v>115</v>
      </c>
      <c r="H267" s="5">
        <v>0.33900000000000002</v>
      </c>
      <c r="I267" s="4">
        <v>16</v>
      </c>
      <c r="J267" s="4">
        <v>0</v>
      </c>
      <c r="K267" s="4">
        <v>4</v>
      </c>
      <c r="L267" s="4">
        <v>0</v>
      </c>
      <c r="M267" s="6"/>
      <c r="N267" s="10">
        <f t="shared" si="24"/>
        <v>0</v>
      </c>
      <c r="O267" s="10">
        <f t="shared" si="25"/>
        <v>0</v>
      </c>
      <c r="P267" s="10">
        <f t="shared" si="26"/>
        <v>0</v>
      </c>
      <c r="Q267" s="10">
        <f t="shared" si="26"/>
        <v>0.5</v>
      </c>
      <c r="R267" s="10">
        <f t="shared" si="27"/>
        <v>0</v>
      </c>
      <c r="S267" s="10">
        <f t="shared" si="28"/>
        <v>0.5</v>
      </c>
      <c r="T267" s="10" t="str">
        <f t="shared" si="29"/>
        <v>☆½</v>
      </c>
    </row>
    <row r="268" spans="1:20" s="4" customFormat="1" ht="20" thickBot="1" x14ac:dyDescent="0.3">
      <c r="A268" s="4" t="s">
        <v>406</v>
      </c>
      <c r="B268" s="4" t="s">
        <v>29</v>
      </c>
      <c r="C268" s="4" t="s">
        <v>109</v>
      </c>
      <c r="D268" s="4" t="s">
        <v>47</v>
      </c>
      <c r="E268" s="4">
        <v>26</v>
      </c>
      <c r="F268" s="4">
        <v>1602</v>
      </c>
      <c r="G268" s="4">
        <v>190</v>
      </c>
      <c r="H268" s="5">
        <v>0.28899999999999998</v>
      </c>
      <c r="I268" s="4">
        <v>40</v>
      </c>
      <c r="J268" s="4">
        <v>3</v>
      </c>
      <c r="K268" s="4">
        <v>8</v>
      </c>
      <c r="L268" s="4">
        <v>0</v>
      </c>
      <c r="M268" s="6"/>
      <c r="N268" s="10">
        <f t="shared" si="24"/>
        <v>1</v>
      </c>
      <c r="O268" s="10">
        <f t="shared" si="25"/>
        <v>0</v>
      </c>
      <c r="P268" s="10">
        <f t="shared" si="26"/>
        <v>1</v>
      </c>
      <c r="Q268" s="10">
        <f t="shared" si="26"/>
        <v>1</v>
      </c>
      <c r="R268" s="10">
        <f t="shared" si="27"/>
        <v>0</v>
      </c>
      <c r="S268" s="10">
        <f t="shared" si="28"/>
        <v>3</v>
      </c>
      <c r="T268" s="10" t="str">
        <f t="shared" si="29"/>
        <v>★★★</v>
      </c>
    </row>
    <row r="269" spans="1:20" s="4" customFormat="1" ht="20" thickBot="1" x14ac:dyDescent="0.3">
      <c r="A269" s="4" t="s">
        <v>407</v>
      </c>
      <c r="B269" s="4" t="s">
        <v>29</v>
      </c>
      <c r="C269" s="4" t="s">
        <v>116</v>
      </c>
      <c r="D269" s="4" t="s">
        <v>35</v>
      </c>
      <c r="E269" s="4">
        <v>29</v>
      </c>
      <c r="F269" s="4">
        <v>1980</v>
      </c>
      <c r="G269" s="4">
        <v>287</v>
      </c>
      <c r="H269" s="5">
        <v>0.24399999999999999</v>
      </c>
      <c r="I269" s="4">
        <v>28</v>
      </c>
      <c r="J269" s="4">
        <v>3</v>
      </c>
      <c r="K269" s="4">
        <v>7</v>
      </c>
      <c r="L269" s="4">
        <v>1</v>
      </c>
      <c r="M269" s="6"/>
      <c r="N269" s="10">
        <f t="shared" si="24"/>
        <v>1</v>
      </c>
      <c r="O269" s="10">
        <f t="shared" si="25"/>
        <v>0</v>
      </c>
      <c r="P269" s="10">
        <f t="shared" si="26"/>
        <v>0.5</v>
      </c>
      <c r="Q269" s="10">
        <f t="shared" si="26"/>
        <v>1</v>
      </c>
      <c r="R269" s="10">
        <f t="shared" si="27"/>
        <v>0</v>
      </c>
      <c r="S269" s="10">
        <f t="shared" si="28"/>
        <v>2.5</v>
      </c>
      <c r="T269" s="10" t="str">
        <f t="shared" si="29"/>
        <v>★★½</v>
      </c>
    </row>
    <row r="270" spans="1:20" s="4" customFormat="1" ht="20" thickBot="1" x14ac:dyDescent="0.3">
      <c r="A270" s="4" t="s">
        <v>408</v>
      </c>
      <c r="B270" s="4" t="s">
        <v>409</v>
      </c>
      <c r="C270" s="4" t="s">
        <v>109</v>
      </c>
      <c r="D270" s="4" t="s">
        <v>24</v>
      </c>
      <c r="E270" s="4">
        <v>24</v>
      </c>
      <c r="F270" s="4">
        <v>423</v>
      </c>
      <c r="G270" s="4">
        <v>24</v>
      </c>
      <c r="H270" s="5">
        <v>0.41699999999999998</v>
      </c>
      <c r="I270" s="4">
        <v>9</v>
      </c>
      <c r="J270" s="4">
        <v>0</v>
      </c>
      <c r="K270" s="4">
        <v>0</v>
      </c>
      <c r="L270" s="4">
        <v>0</v>
      </c>
      <c r="M270" s="6"/>
      <c r="N270" s="10">
        <f t="shared" si="24"/>
        <v>0</v>
      </c>
      <c r="O270" s="10">
        <f t="shared" si="25"/>
        <v>0</v>
      </c>
      <c r="P270" s="10">
        <f t="shared" si="26"/>
        <v>0</v>
      </c>
      <c r="Q270" s="10">
        <f t="shared" si="26"/>
        <v>0.5</v>
      </c>
      <c r="R270" s="10">
        <f t="shared" si="27"/>
        <v>1</v>
      </c>
      <c r="S270" s="10">
        <f t="shared" si="28"/>
        <v>1.5</v>
      </c>
      <c r="T270" s="10" t="str">
        <f t="shared" si="29"/>
        <v>★½</v>
      </c>
    </row>
    <row r="271" spans="1:20" s="4" customFormat="1" ht="20" thickBot="1" x14ac:dyDescent="0.3">
      <c r="A271" s="4" t="s">
        <v>410</v>
      </c>
      <c r="B271" s="4" t="s">
        <v>14</v>
      </c>
      <c r="C271" s="4" t="s">
        <v>109</v>
      </c>
      <c r="D271" s="4" t="s">
        <v>21</v>
      </c>
      <c r="E271" s="4">
        <v>36</v>
      </c>
      <c r="F271" s="4">
        <v>2646</v>
      </c>
      <c r="G271" s="4">
        <v>173</v>
      </c>
      <c r="H271" s="5">
        <v>0.32900000000000001</v>
      </c>
      <c r="I271" s="4">
        <v>65</v>
      </c>
      <c r="J271" s="4">
        <v>3</v>
      </c>
      <c r="K271" s="4">
        <v>2</v>
      </c>
      <c r="L271" s="4">
        <v>0</v>
      </c>
      <c r="M271" s="6"/>
      <c r="N271" s="10">
        <f t="shared" si="24"/>
        <v>1</v>
      </c>
      <c r="O271" s="10">
        <f t="shared" si="25"/>
        <v>0</v>
      </c>
      <c r="P271" s="10">
        <f t="shared" si="26"/>
        <v>1</v>
      </c>
      <c r="Q271" s="10">
        <f t="shared" si="26"/>
        <v>1</v>
      </c>
      <c r="R271" s="10">
        <f t="shared" si="27"/>
        <v>1</v>
      </c>
      <c r="S271" s="10">
        <f t="shared" si="28"/>
        <v>4</v>
      </c>
      <c r="T271" s="10" t="str">
        <f t="shared" si="29"/>
        <v>★★★★</v>
      </c>
    </row>
    <row r="272" spans="1:20" s="4" customFormat="1" ht="20" thickBot="1" x14ac:dyDescent="0.3">
      <c r="A272" s="4" t="s">
        <v>411</v>
      </c>
      <c r="B272" s="4" t="s">
        <v>17</v>
      </c>
      <c r="C272" s="4" t="s">
        <v>116</v>
      </c>
      <c r="D272" s="4" t="s">
        <v>24</v>
      </c>
      <c r="E272" s="4">
        <v>31</v>
      </c>
      <c r="F272" s="4">
        <v>3221.9999999999995</v>
      </c>
      <c r="G272" s="4">
        <v>505</v>
      </c>
      <c r="H272" s="5">
        <v>0.317</v>
      </c>
      <c r="I272" s="4">
        <v>53</v>
      </c>
      <c r="J272" s="4">
        <v>3</v>
      </c>
      <c r="K272" s="4">
        <v>5</v>
      </c>
      <c r="L272" s="4">
        <v>0</v>
      </c>
      <c r="M272" s="6"/>
      <c r="N272" s="10">
        <f t="shared" si="24"/>
        <v>1</v>
      </c>
      <c r="O272" s="10">
        <f t="shared" si="25"/>
        <v>1</v>
      </c>
      <c r="P272" s="10">
        <f t="shared" si="26"/>
        <v>1</v>
      </c>
      <c r="Q272" s="10">
        <f t="shared" si="26"/>
        <v>1</v>
      </c>
      <c r="R272" s="10">
        <f t="shared" si="27"/>
        <v>0</v>
      </c>
      <c r="S272" s="10">
        <f t="shared" si="28"/>
        <v>4</v>
      </c>
      <c r="T272" s="10" t="str">
        <f t="shared" si="29"/>
        <v>★★★★</v>
      </c>
    </row>
    <row r="273" spans="1:20" s="4" customFormat="1" ht="20" thickBot="1" x14ac:dyDescent="0.3">
      <c r="A273" s="4" t="s">
        <v>412</v>
      </c>
      <c r="B273" s="4" t="s">
        <v>29</v>
      </c>
      <c r="C273" s="4" t="s">
        <v>116</v>
      </c>
      <c r="D273" s="4" t="s">
        <v>65</v>
      </c>
      <c r="E273" s="4">
        <v>20</v>
      </c>
      <c r="F273" s="4">
        <v>1350</v>
      </c>
      <c r="G273" s="4">
        <v>275</v>
      </c>
      <c r="H273" s="5">
        <v>0.25800000000000001</v>
      </c>
      <c r="I273" s="4">
        <v>25</v>
      </c>
      <c r="J273" s="4">
        <v>0</v>
      </c>
      <c r="K273" s="4">
        <v>6</v>
      </c>
      <c r="L273" s="4">
        <v>0</v>
      </c>
      <c r="M273" s="6"/>
      <c r="N273" s="10">
        <f t="shared" si="24"/>
        <v>0</v>
      </c>
      <c r="O273" s="10">
        <f t="shared" si="25"/>
        <v>0</v>
      </c>
      <c r="P273" s="10">
        <f t="shared" si="26"/>
        <v>0</v>
      </c>
      <c r="Q273" s="10">
        <f t="shared" si="26"/>
        <v>0.5</v>
      </c>
      <c r="R273" s="10">
        <f t="shared" si="27"/>
        <v>0</v>
      </c>
      <c r="S273" s="10">
        <f t="shared" si="28"/>
        <v>0.5</v>
      </c>
      <c r="T273" s="10" t="str">
        <f t="shared" si="29"/>
        <v>☆½</v>
      </c>
    </row>
    <row r="274" spans="1:20" s="4" customFormat="1" ht="20" thickBot="1" x14ac:dyDescent="0.3">
      <c r="A274" s="4" t="s">
        <v>413</v>
      </c>
      <c r="B274" s="4" t="s">
        <v>83</v>
      </c>
      <c r="C274" s="4" t="s">
        <v>109</v>
      </c>
      <c r="D274" s="4" t="s">
        <v>63</v>
      </c>
      <c r="E274" s="4">
        <v>29</v>
      </c>
      <c r="F274" s="4">
        <v>1485</v>
      </c>
      <c r="G274" s="4">
        <v>194</v>
      </c>
      <c r="H274" s="5">
        <v>0.35099999999999998</v>
      </c>
      <c r="I274" s="4">
        <v>24</v>
      </c>
      <c r="J274" s="4">
        <v>2</v>
      </c>
      <c r="K274" s="4">
        <v>3</v>
      </c>
      <c r="L274" s="4">
        <v>0</v>
      </c>
      <c r="M274" s="6"/>
      <c r="N274" s="10">
        <f t="shared" si="24"/>
        <v>1</v>
      </c>
      <c r="O274" s="10">
        <f t="shared" si="25"/>
        <v>0.5</v>
      </c>
      <c r="P274" s="10">
        <f t="shared" si="26"/>
        <v>0</v>
      </c>
      <c r="Q274" s="10">
        <f t="shared" si="26"/>
        <v>0.5</v>
      </c>
      <c r="R274" s="10">
        <f t="shared" si="27"/>
        <v>0</v>
      </c>
      <c r="S274" s="10">
        <f t="shared" si="28"/>
        <v>2</v>
      </c>
      <c r="T274" s="10" t="str">
        <f t="shared" si="29"/>
        <v>★★</v>
      </c>
    </row>
    <row r="275" spans="1:20" s="4" customFormat="1" ht="20" thickBot="1" x14ac:dyDescent="0.3">
      <c r="A275" s="4" t="s">
        <v>414</v>
      </c>
      <c r="B275" s="4" t="s">
        <v>67</v>
      </c>
      <c r="C275" s="4" t="s">
        <v>228</v>
      </c>
      <c r="D275" s="4" t="s">
        <v>50</v>
      </c>
      <c r="E275" s="4">
        <v>23</v>
      </c>
      <c r="F275" s="4">
        <v>603</v>
      </c>
      <c r="G275" s="4">
        <v>125</v>
      </c>
      <c r="H275" s="5">
        <v>0.36799999999999999</v>
      </c>
      <c r="I275" s="4">
        <v>12</v>
      </c>
      <c r="J275" s="4">
        <v>0</v>
      </c>
      <c r="K275" s="4">
        <v>0</v>
      </c>
      <c r="L275" s="4">
        <v>0</v>
      </c>
      <c r="M275" s="6"/>
      <c r="N275" s="10">
        <f t="shared" si="24"/>
        <v>0</v>
      </c>
      <c r="O275" s="10">
        <f t="shared" si="25"/>
        <v>0</v>
      </c>
      <c r="P275" s="10">
        <f t="shared" si="26"/>
        <v>0</v>
      </c>
      <c r="Q275" s="10">
        <f t="shared" si="26"/>
        <v>0.5</v>
      </c>
      <c r="R275" s="10">
        <f t="shared" si="27"/>
        <v>1</v>
      </c>
      <c r="S275" s="10">
        <f t="shared" si="28"/>
        <v>1.5</v>
      </c>
      <c r="T275" s="10" t="str">
        <f t="shared" si="29"/>
        <v>★½</v>
      </c>
    </row>
    <row r="276" spans="1:20" s="4" customFormat="1" ht="20" thickBot="1" x14ac:dyDescent="0.3">
      <c r="A276" s="4" t="s">
        <v>415</v>
      </c>
      <c r="B276" s="4" t="s">
        <v>185</v>
      </c>
      <c r="C276" s="4" t="s">
        <v>116</v>
      </c>
      <c r="D276" s="4" t="s">
        <v>18</v>
      </c>
      <c r="E276" s="4">
        <v>26</v>
      </c>
      <c r="F276" s="4">
        <v>3060</v>
      </c>
      <c r="G276" s="4">
        <v>483</v>
      </c>
      <c r="H276" s="5">
        <v>0.26700000000000002</v>
      </c>
      <c r="I276" s="4">
        <v>49</v>
      </c>
      <c r="J276" s="4">
        <v>6</v>
      </c>
      <c r="K276" s="4">
        <v>3</v>
      </c>
      <c r="L276" s="4">
        <v>0</v>
      </c>
      <c r="M276" s="6"/>
      <c r="N276" s="10">
        <f t="shared" si="24"/>
        <v>1</v>
      </c>
      <c r="O276" s="10">
        <f t="shared" si="25"/>
        <v>0</v>
      </c>
      <c r="P276" s="10">
        <f t="shared" si="26"/>
        <v>1</v>
      </c>
      <c r="Q276" s="10">
        <f t="shared" si="26"/>
        <v>1</v>
      </c>
      <c r="R276" s="10">
        <f t="shared" si="27"/>
        <v>0</v>
      </c>
      <c r="S276" s="10">
        <f t="shared" si="28"/>
        <v>3</v>
      </c>
      <c r="T276" s="10" t="str">
        <f t="shared" si="29"/>
        <v>★★★</v>
      </c>
    </row>
    <row r="277" spans="1:20" s="4" customFormat="1" ht="20" thickBot="1" x14ac:dyDescent="0.3">
      <c r="A277" s="4" t="s">
        <v>416</v>
      </c>
      <c r="B277" s="4" t="s">
        <v>17</v>
      </c>
      <c r="C277" s="4" t="s">
        <v>116</v>
      </c>
      <c r="D277" s="4" t="s">
        <v>87</v>
      </c>
      <c r="E277" s="4">
        <v>22</v>
      </c>
      <c r="F277" s="4">
        <v>1098</v>
      </c>
      <c r="G277" s="4">
        <v>250</v>
      </c>
      <c r="H277" s="5">
        <v>0.248</v>
      </c>
      <c r="I277" s="4">
        <v>13</v>
      </c>
      <c r="J277" s="4">
        <v>1</v>
      </c>
      <c r="K277" s="4">
        <v>0</v>
      </c>
      <c r="L277" s="4">
        <v>0</v>
      </c>
      <c r="M277" s="6"/>
      <c r="N277" s="10">
        <f t="shared" si="24"/>
        <v>0</v>
      </c>
      <c r="O277" s="10">
        <f t="shared" si="25"/>
        <v>0</v>
      </c>
      <c r="P277" s="10">
        <f t="shared" si="26"/>
        <v>0</v>
      </c>
      <c r="Q277" s="10">
        <f t="shared" si="26"/>
        <v>0.5</v>
      </c>
      <c r="R277" s="10">
        <f t="shared" si="27"/>
        <v>1</v>
      </c>
      <c r="S277" s="10">
        <f t="shared" si="28"/>
        <v>1.5</v>
      </c>
      <c r="T277" s="10" t="str">
        <f t="shared" si="29"/>
        <v>★½</v>
      </c>
    </row>
    <row r="278" spans="1:20" s="4" customFormat="1" ht="20" thickBot="1" x14ac:dyDescent="0.3">
      <c r="A278" s="4" t="s">
        <v>417</v>
      </c>
      <c r="B278" s="4" t="s">
        <v>279</v>
      </c>
      <c r="C278" s="4" t="s">
        <v>109</v>
      </c>
      <c r="D278" s="4" t="s">
        <v>87</v>
      </c>
      <c r="E278" s="4">
        <v>25</v>
      </c>
      <c r="F278" s="4">
        <v>2493</v>
      </c>
      <c r="G278" s="4">
        <v>259</v>
      </c>
      <c r="H278" s="5">
        <v>0.35899999999999999</v>
      </c>
      <c r="I278" s="4">
        <v>56</v>
      </c>
      <c r="J278" s="4">
        <v>1</v>
      </c>
      <c r="K278" s="4">
        <v>5</v>
      </c>
      <c r="L278" s="4">
        <v>0</v>
      </c>
      <c r="M278" s="6"/>
      <c r="N278" s="10">
        <f t="shared" si="24"/>
        <v>1</v>
      </c>
      <c r="O278" s="10">
        <f t="shared" si="25"/>
        <v>1</v>
      </c>
      <c r="P278" s="10">
        <f t="shared" si="26"/>
        <v>1</v>
      </c>
      <c r="Q278" s="10">
        <f t="shared" si="26"/>
        <v>0.5</v>
      </c>
      <c r="R278" s="10">
        <f t="shared" si="27"/>
        <v>0</v>
      </c>
      <c r="S278" s="10">
        <f t="shared" si="28"/>
        <v>3.5</v>
      </c>
      <c r="T278" s="10" t="str">
        <f t="shared" si="29"/>
        <v>★★★½</v>
      </c>
    </row>
    <row r="279" spans="1:20" s="4" customFormat="1" ht="20" thickBot="1" x14ac:dyDescent="0.3">
      <c r="A279" s="4" t="s">
        <v>418</v>
      </c>
      <c r="B279" s="4" t="s">
        <v>29</v>
      </c>
      <c r="C279" s="4" t="s">
        <v>116</v>
      </c>
      <c r="D279" s="4" t="s">
        <v>53</v>
      </c>
      <c r="E279" s="4">
        <v>32</v>
      </c>
      <c r="F279" s="4">
        <v>125.99999999999999</v>
      </c>
      <c r="G279" s="4">
        <v>41</v>
      </c>
      <c r="H279" s="5">
        <v>0.34100000000000003</v>
      </c>
      <c r="I279" s="4">
        <v>4</v>
      </c>
      <c r="J279" s="4">
        <v>0</v>
      </c>
      <c r="K279" s="4">
        <v>1</v>
      </c>
      <c r="L279" s="4">
        <v>0</v>
      </c>
      <c r="M279" s="6"/>
      <c r="N279" s="10">
        <f t="shared" si="24"/>
        <v>0</v>
      </c>
      <c r="O279" s="10">
        <f t="shared" si="25"/>
        <v>0</v>
      </c>
      <c r="P279" s="10">
        <f t="shared" si="26"/>
        <v>0</v>
      </c>
      <c r="Q279" s="10">
        <f t="shared" si="26"/>
        <v>0.5</v>
      </c>
      <c r="R279" s="10">
        <f t="shared" si="27"/>
        <v>1</v>
      </c>
      <c r="S279" s="10">
        <f t="shared" si="28"/>
        <v>1.5</v>
      </c>
      <c r="T279" s="10" t="str">
        <f t="shared" si="29"/>
        <v>★½</v>
      </c>
    </row>
    <row r="280" spans="1:20" s="4" customFormat="1" ht="20" thickBot="1" x14ac:dyDescent="0.3">
      <c r="A280" s="4" t="s">
        <v>419</v>
      </c>
      <c r="B280" s="4" t="s">
        <v>29</v>
      </c>
      <c r="C280" s="4" t="s">
        <v>109</v>
      </c>
      <c r="D280" s="4" t="s">
        <v>33</v>
      </c>
      <c r="E280" s="4">
        <v>27</v>
      </c>
      <c r="F280" s="4">
        <v>810</v>
      </c>
      <c r="G280" s="4">
        <v>92</v>
      </c>
      <c r="H280" s="5">
        <v>0.35899999999999999</v>
      </c>
      <c r="I280" s="4">
        <v>16</v>
      </c>
      <c r="J280" s="4">
        <v>0</v>
      </c>
      <c r="K280" s="4">
        <v>3</v>
      </c>
      <c r="L280" s="4">
        <v>0</v>
      </c>
      <c r="M280" s="6"/>
      <c r="N280" s="10">
        <f t="shared" si="24"/>
        <v>0</v>
      </c>
      <c r="O280" s="10">
        <f t="shared" si="25"/>
        <v>0</v>
      </c>
      <c r="P280" s="10">
        <f t="shared" si="26"/>
        <v>0</v>
      </c>
      <c r="Q280" s="10">
        <f t="shared" si="26"/>
        <v>0.5</v>
      </c>
      <c r="R280" s="10">
        <f t="shared" si="27"/>
        <v>0</v>
      </c>
      <c r="S280" s="10">
        <f t="shared" si="28"/>
        <v>0.5</v>
      </c>
      <c r="T280" s="10" t="str">
        <f t="shared" si="29"/>
        <v>☆½</v>
      </c>
    </row>
    <row r="281" spans="1:20" s="4" customFormat="1" ht="20" thickBot="1" x14ac:dyDescent="0.3">
      <c r="A281" s="4" t="s">
        <v>420</v>
      </c>
      <c r="B281" s="4" t="s">
        <v>52</v>
      </c>
      <c r="C281" s="4" t="s">
        <v>109</v>
      </c>
      <c r="D281" s="4" t="s">
        <v>43</v>
      </c>
      <c r="E281" s="4">
        <v>18</v>
      </c>
      <c r="F281" s="4">
        <v>18</v>
      </c>
      <c r="G281" s="4">
        <v>5</v>
      </c>
      <c r="H281" s="7">
        <v>0.2</v>
      </c>
      <c r="I281" s="4">
        <v>0</v>
      </c>
      <c r="J281" s="4">
        <v>0</v>
      </c>
      <c r="K281" s="4">
        <v>0</v>
      </c>
      <c r="L281" s="4">
        <v>0</v>
      </c>
      <c r="M281" s="6"/>
      <c r="N281" s="10">
        <f t="shared" si="24"/>
        <v>0</v>
      </c>
      <c r="O281" s="10">
        <f t="shared" si="25"/>
        <v>0</v>
      </c>
      <c r="P281" s="10">
        <f t="shared" si="26"/>
        <v>0</v>
      </c>
      <c r="Q281" s="10">
        <f t="shared" si="26"/>
        <v>0.5</v>
      </c>
      <c r="R281" s="10">
        <f t="shared" si="27"/>
        <v>1</v>
      </c>
      <c r="S281" s="10">
        <f t="shared" si="28"/>
        <v>1.5</v>
      </c>
      <c r="T281" s="10" t="str">
        <f t="shared" si="29"/>
        <v>★½</v>
      </c>
    </row>
    <row r="282" spans="1:20" s="4" customFormat="1" ht="20" thickBot="1" x14ac:dyDescent="0.3">
      <c r="A282" s="4" t="s">
        <v>421</v>
      </c>
      <c r="B282" s="4" t="s">
        <v>29</v>
      </c>
      <c r="C282" s="4" t="s">
        <v>109</v>
      </c>
      <c r="D282" s="4" t="s">
        <v>39</v>
      </c>
      <c r="E282" s="4">
        <v>27</v>
      </c>
      <c r="F282" s="4">
        <v>1116</v>
      </c>
      <c r="G282" s="4">
        <v>58</v>
      </c>
      <c r="H282" s="5">
        <v>0.379</v>
      </c>
      <c r="I282" s="4">
        <v>9</v>
      </c>
      <c r="J282" s="4">
        <v>1</v>
      </c>
      <c r="K282" s="4">
        <v>0</v>
      </c>
      <c r="L282" s="4">
        <v>0</v>
      </c>
      <c r="M282" s="6"/>
      <c r="N282" s="10">
        <f t="shared" si="24"/>
        <v>0</v>
      </c>
      <c r="O282" s="10">
        <f t="shared" si="25"/>
        <v>0</v>
      </c>
      <c r="P282" s="10">
        <f t="shared" si="26"/>
        <v>0</v>
      </c>
      <c r="Q282" s="10">
        <f t="shared" si="26"/>
        <v>0.5</v>
      </c>
      <c r="R282" s="10">
        <f t="shared" si="27"/>
        <v>1</v>
      </c>
      <c r="S282" s="10">
        <f t="shared" si="28"/>
        <v>1.5</v>
      </c>
      <c r="T282" s="10" t="str">
        <f t="shared" si="29"/>
        <v>★½</v>
      </c>
    </row>
    <row r="283" spans="1:20" s="4" customFormat="1" ht="20" thickBot="1" x14ac:dyDescent="0.3">
      <c r="A283" s="4" t="s">
        <v>422</v>
      </c>
      <c r="B283" s="4" t="s">
        <v>60</v>
      </c>
      <c r="C283" s="4" t="s">
        <v>109</v>
      </c>
      <c r="D283" s="4" t="s">
        <v>58</v>
      </c>
      <c r="E283" s="4">
        <v>21</v>
      </c>
      <c r="F283" s="4">
        <v>2052</v>
      </c>
      <c r="G283" s="4">
        <v>387</v>
      </c>
      <c r="H283" s="5">
        <v>0.36199999999999999</v>
      </c>
      <c r="I283" s="4">
        <v>57</v>
      </c>
      <c r="J283" s="4">
        <v>1</v>
      </c>
      <c r="K283" s="4">
        <v>6</v>
      </c>
      <c r="L283" s="4">
        <v>1</v>
      </c>
      <c r="M283" s="6"/>
      <c r="N283" s="10">
        <f t="shared" si="24"/>
        <v>1</v>
      </c>
      <c r="O283" s="10">
        <f t="shared" si="25"/>
        <v>1</v>
      </c>
      <c r="P283" s="10">
        <f t="shared" si="26"/>
        <v>1</v>
      </c>
      <c r="Q283" s="10">
        <f t="shared" si="26"/>
        <v>0.5</v>
      </c>
      <c r="R283" s="10">
        <f t="shared" si="27"/>
        <v>0</v>
      </c>
      <c r="S283" s="10">
        <f t="shared" si="28"/>
        <v>3.5</v>
      </c>
      <c r="T283" s="10" t="str">
        <f t="shared" si="29"/>
        <v>★★★½</v>
      </c>
    </row>
    <row r="284" spans="1:20" s="4" customFormat="1" ht="20" thickBot="1" x14ac:dyDescent="0.3">
      <c r="A284" s="4" t="s">
        <v>423</v>
      </c>
      <c r="B284" s="4" t="s">
        <v>29</v>
      </c>
      <c r="C284" s="4" t="s">
        <v>109</v>
      </c>
      <c r="D284" s="4" t="s">
        <v>65</v>
      </c>
      <c r="E284" s="4">
        <v>22</v>
      </c>
      <c r="F284" s="4">
        <v>737.99999999999989</v>
      </c>
      <c r="G284" s="4">
        <v>110</v>
      </c>
      <c r="H284" s="5">
        <v>0.32700000000000001</v>
      </c>
      <c r="I284" s="4">
        <v>16</v>
      </c>
      <c r="J284" s="4">
        <v>0</v>
      </c>
      <c r="K284" s="4">
        <v>4</v>
      </c>
      <c r="L284" s="4">
        <v>1</v>
      </c>
      <c r="M284" s="6"/>
      <c r="N284" s="10">
        <f t="shared" si="24"/>
        <v>0</v>
      </c>
      <c r="O284" s="10">
        <f t="shared" si="25"/>
        <v>0</v>
      </c>
      <c r="P284" s="10">
        <f t="shared" si="26"/>
        <v>0</v>
      </c>
      <c r="Q284" s="10">
        <f t="shared" si="26"/>
        <v>0.5</v>
      </c>
      <c r="R284" s="10">
        <f t="shared" si="27"/>
        <v>0</v>
      </c>
      <c r="S284" s="10">
        <f t="shared" si="28"/>
        <v>0.5</v>
      </c>
      <c r="T284" s="10" t="str">
        <f t="shared" si="29"/>
        <v>☆½</v>
      </c>
    </row>
    <row r="285" spans="1:20" s="4" customFormat="1" ht="20" thickBot="1" x14ac:dyDescent="0.3">
      <c r="A285" s="4" t="s">
        <v>424</v>
      </c>
      <c r="B285" s="4" t="s">
        <v>29</v>
      </c>
      <c r="C285" s="4" t="s">
        <v>109</v>
      </c>
      <c r="D285" s="4" t="s">
        <v>69</v>
      </c>
      <c r="E285" s="4">
        <v>25</v>
      </c>
      <c r="F285" s="4">
        <v>1431</v>
      </c>
      <c r="G285" s="4">
        <v>191</v>
      </c>
      <c r="H285" s="7">
        <v>0.23</v>
      </c>
      <c r="I285" s="4">
        <v>44</v>
      </c>
      <c r="J285" s="4">
        <v>2</v>
      </c>
      <c r="K285" s="4">
        <v>2</v>
      </c>
      <c r="L285" s="4">
        <v>0</v>
      </c>
      <c r="M285" s="6"/>
      <c r="N285" s="10">
        <f t="shared" si="24"/>
        <v>0</v>
      </c>
      <c r="O285" s="10">
        <f t="shared" si="25"/>
        <v>0</v>
      </c>
      <c r="P285" s="10">
        <f t="shared" si="26"/>
        <v>1</v>
      </c>
      <c r="Q285" s="10">
        <f t="shared" si="26"/>
        <v>0.5</v>
      </c>
      <c r="R285" s="10">
        <f t="shared" si="27"/>
        <v>1</v>
      </c>
      <c r="S285" s="10">
        <f t="shared" si="28"/>
        <v>2.5</v>
      </c>
      <c r="T285" s="10" t="str">
        <f t="shared" si="29"/>
        <v>★★½</v>
      </c>
    </row>
    <row r="286" spans="1:20" s="4" customFormat="1" ht="20" thickBot="1" x14ac:dyDescent="0.3">
      <c r="A286" s="4" t="s">
        <v>424</v>
      </c>
      <c r="B286" s="4" t="s">
        <v>29</v>
      </c>
      <c r="C286" s="4" t="s">
        <v>109</v>
      </c>
      <c r="D286" s="4" t="s">
        <v>35</v>
      </c>
      <c r="E286" s="4">
        <v>25</v>
      </c>
      <c r="F286" s="4">
        <v>1440</v>
      </c>
      <c r="G286" s="4">
        <v>175</v>
      </c>
      <c r="H286" s="7">
        <v>0.32</v>
      </c>
      <c r="I286" s="4">
        <v>18</v>
      </c>
      <c r="J286" s="4">
        <v>0</v>
      </c>
      <c r="K286" s="4">
        <v>1</v>
      </c>
      <c r="L286" s="4">
        <v>0</v>
      </c>
      <c r="M286" s="6"/>
      <c r="N286" s="10">
        <f t="shared" si="24"/>
        <v>0.5</v>
      </c>
      <c r="O286" s="10">
        <f t="shared" si="25"/>
        <v>0.5</v>
      </c>
      <c r="P286" s="10">
        <f t="shared" si="26"/>
        <v>0</v>
      </c>
      <c r="Q286" s="10">
        <f t="shared" si="26"/>
        <v>0.5</v>
      </c>
      <c r="R286" s="10">
        <f t="shared" si="27"/>
        <v>1</v>
      </c>
      <c r="S286" s="10">
        <f t="shared" si="28"/>
        <v>2.5</v>
      </c>
      <c r="T286" s="10" t="str">
        <f t="shared" si="29"/>
        <v>★★½</v>
      </c>
    </row>
    <row r="287" spans="1:20" s="4" customFormat="1" ht="20" thickBot="1" x14ac:dyDescent="0.3">
      <c r="A287" s="4" t="s">
        <v>425</v>
      </c>
      <c r="B287" s="4" t="s">
        <v>29</v>
      </c>
      <c r="C287" s="4" t="s">
        <v>109</v>
      </c>
      <c r="D287" s="4" t="s">
        <v>53</v>
      </c>
      <c r="E287" s="4">
        <v>28</v>
      </c>
      <c r="F287" s="4">
        <v>3105</v>
      </c>
      <c r="G287" s="4">
        <v>261</v>
      </c>
      <c r="H287" s="7">
        <v>0.36</v>
      </c>
      <c r="I287" s="4">
        <v>92</v>
      </c>
      <c r="J287" s="4">
        <v>3</v>
      </c>
      <c r="K287" s="4">
        <v>11</v>
      </c>
      <c r="L287" s="4">
        <v>0</v>
      </c>
      <c r="M287" s="6"/>
      <c r="N287" s="10">
        <f t="shared" si="24"/>
        <v>1</v>
      </c>
      <c r="O287" s="10">
        <f t="shared" si="25"/>
        <v>1</v>
      </c>
      <c r="P287" s="10">
        <f t="shared" si="26"/>
        <v>1</v>
      </c>
      <c r="Q287" s="10">
        <f t="shared" si="26"/>
        <v>1</v>
      </c>
      <c r="R287" s="10">
        <f t="shared" si="27"/>
        <v>0</v>
      </c>
      <c r="S287" s="10">
        <f t="shared" si="28"/>
        <v>4</v>
      </c>
      <c r="T287" s="10" t="str">
        <f t="shared" si="29"/>
        <v>★★★★</v>
      </c>
    </row>
    <row r="288" spans="1:20" s="4" customFormat="1" ht="20" thickBot="1" x14ac:dyDescent="0.3">
      <c r="A288" s="4" t="s">
        <v>426</v>
      </c>
      <c r="B288" s="4" t="s">
        <v>83</v>
      </c>
      <c r="C288" s="4" t="s">
        <v>109</v>
      </c>
      <c r="D288" s="4" t="s">
        <v>63</v>
      </c>
      <c r="E288" s="4">
        <v>21</v>
      </c>
      <c r="F288" s="4">
        <v>1179</v>
      </c>
      <c r="G288" s="4">
        <v>155</v>
      </c>
      <c r="H288" s="5">
        <v>0.30299999999999999</v>
      </c>
      <c r="I288" s="4">
        <v>21</v>
      </c>
      <c r="J288" s="4">
        <v>2</v>
      </c>
      <c r="K288" s="4">
        <v>2</v>
      </c>
      <c r="L288" s="4">
        <v>0</v>
      </c>
      <c r="M288" s="6"/>
      <c r="N288" s="10">
        <f t="shared" si="24"/>
        <v>0</v>
      </c>
      <c r="O288" s="10">
        <f t="shared" si="25"/>
        <v>0</v>
      </c>
      <c r="P288" s="10">
        <f t="shared" si="26"/>
        <v>0</v>
      </c>
      <c r="Q288" s="10">
        <f t="shared" si="26"/>
        <v>0.5</v>
      </c>
      <c r="R288" s="10">
        <f t="shared" si="27"/>
        <v>1</v>
      </c>
      <c r="S288" s="10">
        <f t="shared" si="28"/>
        <v>1.5</v>
      </c>
      <c r="T288" s="10" t="str">
        <f t="shared" si="29"/>
        <v>★½</v>
      </c>
    </row>
    <row r="289" spans="1:20" s="4" customFormat="1" ht="20" thickBot="1" x14ac:dyDescent="0.3">
      <c r="A289" s="4" t="s">
        <v>427</v>
      </c>
      <c r="B289" s="4" t="s">
        <v>29</v>
      </c>
      <c r="C289" s="4" t="s">
        <v>109</v>
      </c>
      <c r="D289" s="4" t="s">
        <v>53</v>
      </c>
      <c r="E289" s="4">
        <v>27</v>
      </c>
      <c r="F289" s="4">
        <v>2727</v>
      </c>
      <c r="G289" s="4">
        <v>243</v>
      </c>
      <c r="H289" s="5">
        <v>0.255</v>
      </c>
      <c r="I289" s="4">
        <v>95</v>
      </c>
      <c r="J289" s="4">
        <v>3</v>
      </c>
      <c r="K289" s="4">
        <v>3</v>
      </c>
      <c r="L289" s="4">
        <v>0</v>
      </c>
      <c r="M289" s="6"/>
      <c r="N289" s="10">
        <f t="shared" si="24"/>
        <v>1</v>
      </c>
      <c r="O289" s="10">
        <f t="shared" si="25"/>
        <v>0</v>
      </c>
      <c r="P289" s="10">
        <f t="shared" si="26"/>
        <v>1</v>
      </c>
      <c r="Q289" s="10">
        <f t="shared" si="26"/>
        <v>1</v>
      </c>
      <c r="R289" s="10">
        <f t="shared" si="27"/>
        <v>0</v>
      </c>
      <c r="S289" s="10">
        <f t="shared" si="28"/>
        <v>3</v>
      </c>
      <c r="T289" s="10" t="str">
        <f t="shared" si="29"/>
        <v>★★★</v>
      </c>
    </row>
    <row r="290" spans="1:20" s="4" customFormat="1" ht="20" thickBot="1" x14ac:dyDescent="0.3">
      <c r="A290" s="4" t="s">
        <v>428</v>
      </c>
      <c r="B290" s="4" t="s">
        <v>14</v>
      </c>
      <c r="C290" s="4" t="s">
        <v>109</v>
      </c>
      <c r="D290" s="4" t="s">
        <v>47</v>
      </c>
      <c r="E290" s="4">
        <v>28</v>
      </c>
      <c r="F290" s="4">
        <v>1655.9999999999998</v>
      </c>
      <c r="G290" s="4">
        <v>196</v>
      </c>
      <c r="H290" s="5">
        <v>0.30599999999999999</v>
      </c>
      <c r="I290" s="4">
        <v>29</v>
      </c>
      <c r="J290" s="4">
        <v>4</v>
      </c>
      <c r="K290" s="4">
        <v>1</v>
      </c>
      <c r="L290" s="4">
        <v>0</v>
      </c>
      <c r="M290" s="6"/>
      <c r="N290" s="10">
        <f t="shared" si="24"/>
        <v>1</v>
      </c>
      <c r="O290" s="10">
        <f t="shared" si="25"/>
        <v>0</v>
      </c>
      <c r="P290" s="10">
        <f t="shared" si="26"/>
        <v>1</v>
      </c>
      <c r="Q290" s="10">
        <f t="shared" si="26"/>
        <v>1</v>
      </c>
      <c r="R290" s="10">
        <f t="shared" si="27"/>
        <v>1</v>
      </c>
      <c r="S290" s="10">
        <f t="shared" si="28"/>
        <v>4</v>
      </c>
      <c r="T290" s="10" t="str">
        <f t="shared" si="29"/>
        <v>★★★★</v>
      </c>
    </row>
    <row r="291" spans="1:20" s="4" customFormat="1" ht="20" thickBot="1" x14ac:dyDescent="0.3">
      <c r="A291" s="4" t="s">
        <v>429</v>
      </c>
      <c r="B291" s="4" t="s">
        <v>29</v>
      </c>
      <c r="C291" s="4" t="s">
        <v>109</v>
      </c>
      <c r="D291" s="4" t="s">
        <v>87</v>
      </c>
      <c r="E291" s="4">
        <v>20</v>
      </c>
      <c r="F291" s="4">
        <v>1908</v>
      </c>
      <c r="G291" s="4">
        <v>381</v>
      </c>
      <c r="H291" s="5">
        <v>0.27600000000000002</v>
      </c>
      <c r="I291" s="4">
        <v>57</v>
      </c>
      <c r="J291" s="4">
        <v>1</v>
      </c>
      <c r="K291" s="4">
        <v>2</v>
      </c>
      <c r="L291" s="4">
        <v>0</v>
      </c>
      <c r="M291" s="6"/>
      <c r="N291" s="10">
        <f t="shared" si="24"/>
        <v>1</v>
      </c>
      <c r="O291" s="10">
        <f t="shared" si="25"/>
        <v>0</v>
      </c>
      <c r="P291" s="10">
        <f t="shared" si="26"/>
        <v>1</v>
      </c>
      <c r="Q291" s="10">
        <f t="shared" si="26"/>
        <v>0.5</v>
      </c>
      <c r="R291" s="10">
        <f t="shared" si="27"/>
        <v>1</v>
      </c>
      <c r="S291" s="10">
        <f t="shared" si="28"/>
        <v>3.5</v>
      </c>
      <c r="T291" s="10" t="str">
        <f t="shared" si="29"/>
        <v>★★★½</v>
      </c>
    </row>
    <row r="292" spans="1:20" s="4" customFormat="1" ht="20" thickBot="1" x14ac:dyDescent="0.3">
      <c r="A292" s="4" t="s">
        <v>430</v>
      </c>
      <c r="B292" s="4" t="s">
        <v>29</v>
      </c>
      <c r="C292" s="4" t="s">
        <v>109</v>
      </c>
      <c r="D292" s="4" t="s">
        <v>43</v>
      </c>
      <c r="E292" s="4">
        <v>21</v>
      </c>
      <c r="F292" s="4">
        <v>144</v>
      </c>
      <c r="G292" s="4">
        <v>16</v>
      </c>
      <c r="H292" s="5">
        <v>0.188</v>
      </c>
      <c r="I292" s="4">
        <v>2</v>
      </c>
      <c r="J292" s="4">
        <v>0</v>
      </c>
      <c r="K292" s="4">
        <v>0</v>
      </c>
      <c r="L292" s="4">
        <v>0</v>
      </c>
      <c r="M292" s="6"/>
      <c r="N292" s="10">
        <f t="shared" si="24"/>
        <v>0</v>
      </c>
      <c r="O292" s="10">
        <f t="shared" si="25"/>
        <v>0</v>
      </c>
      <c r="P292" s="10">
        <f t="shared" si="26"/>
        <v>0</v>
      </c>
      <c r="Q292" s="10">
        <f t="shared" si="26"/>
        <v>0.5</v>
      </c>
      <c r="R292" s="10">
        <f t="shared" si="27"/>
        <v>1</v>
      </c>
      <c r="S292" s="10">
        <f t="shared" si="28"/>
        <v>1.5</v>
      </c>
      <c r="T292" s="10" t="str">
        <f t="shared" si="29"/>
        <v>★½</v>
      </c>
    </row>
    <row r="293" spans="1:20" s="4" customFormat="1" ht="20" thickBot="1" x14ac:dyDescent="0.3">
      <c r="A293" s="4" t="s">
        <v>431</v>
      </c>
      <c r="B293" s="4" t="s">
        <v>162</v>
      </c>
      <c r="C293" s="4" t="s">
        <v>116</v>
      </c>
      <c r="D293" s="4" t="s">
        <v>87</v>
      </c>
      <c r="E293" s="4">
        <v>24</v>
      </c>
      <c r="F293" s="4">
        <v>2628</v>
      </c>
      <c r="G293" s="4">
        <v>489</v>
      </c>
      <c r="H293" s="5">
        <v>0.29899999999999999</v>
      </c>
      <c r="I293" s="4">
        <v>47</v>
      </c>
      <c r="J293" s="4">
        <v>10</v>
      </c>
      <c r="K293" s="4">
        <v>3</v>
      </c>
      <c r="L293" s="4">
        <v>0</v>
      </c>
      <c r="M293" s="6"/>
      <c r="N293" s="10">
        <f t="shared" si="24"/>
        <v>1</v>
      </c>
      <c r="O293" s="10">
        <f t="shared" si="25"/>
        <v>0</v>
      </c>
      <c r="P293" s="10">
        <f t="shared" si="26"/>
        <v>1</v>
      </c>
      <c r="Q293" s="10">
        <f t="shared" si="26"/>
        <v>1</v>
      </c>
      <c r="R293" s="10">
        <f t="shared" si="27"/>
        <v>0</v>
      </c>
      <c r="S293" s="10">
        <f t="shared" si="28"/>
        <v>3</v>
      </c>
      <c r="T293" s="10" t="str">
        <f t="shared" si="29"/>
        <v>★★★</v>
      </c>
    </row>
    <row r="294" spans="1:20" s="4" customFormat="1" ht="20" thickBot="1" x14ac:dyDescent="0.3">
      <c r="A294" s="4" t="s">
        <v>432</v>
      </c>
      <c r="B294" s="4" t="s">
        <v>127</v>
      </c>
      <c r="C294" s="4" t="s">
        <v>109</v>
      </c>
      <c r="D294" s="4" t="s">
        <v>63</v>
      </c>
      <c r="E294" s="4">
        <v>24</v>
      </c>
      <c r="F294" s="4">
        <v>1917</v>
      </c>
      <c r="G294" s="4">
        <v>162</v>
      </c>
      <c r="H294" s="5">
        <v>0.30199999999999999</v>
      </c>
      <c r="I294" s="4">
        <v>35</v>
      </c>
      <c r="J294" s="4">
        <v>4</v>
      </c>
      <c r="K294" s="4">
        <v>0</v>
      </c>
      <c r="L294" s="4">
        <v>0</v>
      </c>
      <c r="M294" s="6"/>
      <c r="N294" s="10">
        <f t="shared" si="24"/>
        <v>1</v>
      </c>
      <c r="O294" s="10">
        <f t="shared" si="25"/>
        <v>0</v>
      </c>
      <c r="P294" s="10">
        <f t="shared" si="26"/>
        <v>1</v>
      </c>
      <c r="Q294" s="10">
        <f t="shared" si="26"/>
        <v>1</v>
      </c>
      <c r="R294" s="10">
        <f t="shared" si="27"/>
        <v>1</v>
      </c>
      <c r="S294" s="10">
        <f t="shared" si="28"/>
        <v>4</v>
      </c>
      <c r="T294" s="10" t="str">
        <f t="shared" si="29"/>
        <v>★★★★</v>
      </c>
    </row>
    <row r="295" spans="1:20" s="4" customFormat="1" ht="20" thickBot="1" x14ac:dyDescent="0.3">
      <c r="A295" s="4" t="s">
        <v>433</v>
      </c>
      <c r="B295" s="4" t="s">
        <v>434</v>
      </c>
      <c r="C295" s="4" t="s">
        <v>109</v>
      </c>
      <c r="D295" s="4" t="s">
        <v>63</v>
      </c>
      <c r="E295" s="4">
        <v>22</v>
      </c>
      <c r="F295" s="4">
        <v>1683</v>
      </c>
      <c r="G295" s="4">
        <v>221</v>
      </c>
      <c r="H295" s="5">
        <v>0.317</v>
      </c>
      <c r="I295" s="4">
        <v>37</v>
      </c>
      <c r="J295" s="4">
        <v>1</v>
      </c>
      <c r="K295" s="4">
        <v>2</v>
      </c>
      <c r="L295" s="4">
        <v>0</v>
      </c>
      <c r="M295" s="6"/>
      <c r="N295" s="10">
        <f t="shared" si="24"/>
        <v>1</v>
      </c>
      <c r="O295" s="10">
        <f t="shared" si="25"/>
        <v>1</v>
      </c>
      <c r="P295" s="10">
        <f t="shared" si="26"/>
        <v>1</v>
      </c>
      <c r="Q295" s="10">
        <f t="shared" si="26"/>
        <v>0.5</v>
      </c>
      <c r="R295" s="10">
        <f t="shared" si="27"/>
        <v>1</v>
      </c>
      <c r="S295" s="10">
        <f t="shared" si="28"/>
        <v>4.5</v>
      </c>
      <c r="T295" s="10" t="str">
        <f t="shared" si="29"/>
        <v>★★★★½</v>
      </c>
    </row>
    <row r="296" spans="1:20" s="4" customFormat="1" ht="20" thickBot="1" x14ac:dyDescent="0.3">
      <c r="A296" s="4" t="s">
        <v>435</v>
      </c>
      <c r="B296" s="4" t="s">
        <v>29</v>
      </c>
      <c r="C296" s="4" t="s">
        <v>109</v>
      </c>
      <c r="D296" s="4" t="s">
        <v>30</v>
      </c>
      <c r="E296" s="4">
        <v>32</v>
      </c>
      <c r="F296" s="4">
        <v>549</v>
      </c>
      <c r="G296" s="4">
        <v>49</v>
      </c>
      <c r="H296" s="5">
        <v>0.40799999999999997</v>
      </c>
      <c r="I296" s="4">
        <v>13</v>
      </c>
      <c r="J296" s="4">
        <v>1</v>
      </c>
      <c r="K296" s="4">
        <v>2</v>
      </c>
      <c r="L296" s="4">
        <v>0</v>
      </c>
      <c r="M296" s="6"/>
      <c r="N296" s="10">
        <f t="shared" si="24"/>
        <v>0</v>
      </c>
      <c r="O296" s="10">
        <f t="shared" si="25"/>
        <v>0</v>
      </c>
      <c r="P296" s="10">
        <f t="shared" si="26"/>
        <v>0</v>
      </c>
      <c r="Q296" s="10">
        <f t="shared" si="26"/>
        <v>0.5</v>
      </c>
      <c r="R296" s="10">
        <f t="shared" si="27"/>
        <v>1</v>
      </c>
      <c r="S296" s="10">
        <f t="shared" si="28"/>
        <v>1.5</v>
      </c>
      <c r="T296" s="10" t="str">
        <f t="shared" si="29"/>
        <v>★½</v>
      </c>
    </row>
    <row r="297" spans="1:20" s="4" customFormat="1" ht="20" thickBot="1" x14ac:dyDescent="0.3">
      <c r="A297" s="4" t="s">
        <v>436</v>
      </c>
      <c r="B297" s="4" t="s">
        <v>29</v>
      </c>
      <c r="C297" s="4" t="s">
        <v>116</v>
      </c>
      <c r="D297" s="4" t="s">
        <v>27</v>
      </c>
      <c r="E297" s="4">
        <v>30</v>
      </c>
      <c r="F297" s="4">
        <v>1458</v>
      </c>
      <c r="G297" s="4">
        <v>302</v>
      </c>
      <c r="H297" s="5">
        <v>0.32500000000000001</v>
      </c>
      <c r="I297" s="4">
        <v>44</v>
      </c>
      <c r="J297" s="4">
        <v>5</v>
      </c>
      <c r="K297" s="4">
        <v>3</v>
      </c>
      <c r="L297" s="4">
        <v>0</v>
      </c>
      <c r="M297" s="6"/>
      <c r="N297" s="10">
        <f t="shared" si="24"/>
        <v>1</v>
      </c>
      <c r="O297" s="10">
        <f t="shared" si="25"/>
        <v>1</v>
      </c>
      <c r="P297" s="10">
        <f t="shared" si="26"/>
        <v>1</v>
      </c>
      <c r="Q297" s="10">
        <f t="shared" si="26"/>
        <v>1</v>
      </c>
      <c r="R297" s="10">
        <f t="shared" si="27"/>
        <v>0</v>
      </c>
      <c r="S297" s="10">
        <f t="shared" si="28"/>
        <v>4</v>
      </c>
      <c r="T297" s="10" t="str">
        <f t="shared" si="29"/>
        <v>★★★★</v>
      </c>
    </row>
    <row r="298" spans="1:20" s="4" customFormat="1" ht="20" thickBot="1" x14ac:dyDescent="0.3">
      <c r="A298" s="4" t="s">
        <v>437</v>
      </c>
      <c r="B298" s="4" t="s">
        <v>29</v>
      </c>
      <c r="C298" s="4" t="s">
        <v>109</v>
      </c>
      <c r="D298" s="4" t="s">
        <v>35</v>
      </c>
      <c r="E298" s="4">
        <v>30</v>
      </c>
      <c r="F298" s="4">
        <v>432</v>
      </c>
      <c r="G298" s="4">
        <v>60</v>
      </c>
      <c r="H298" s="7">
        <v>0.3</v>
      </c>
      <c r="I298" s="4">
        <v>12</v>
      </c>
      <c r="J298" s="4">
        <v>2</v>
      </c>
      <c r="K298" s="4">
        <v>0</v>
      </c>
      <c r="L298" s="4">
        <v>0</v>
      </c>
      <c r="M298" s="6"/>
      <c r="N298" s="10">
        <f t="shared" si="24"/>
        <v>0</v>
      </c>
      <c r="O298" s="10">
        <f t="shared" si="25"/>
        <v>0</v>
      </c>
      <c r="P298" s="10">
        <f t="shared" si="26"/>
        <v>0</v>
      </c>
      <c r="Q298" s="10">
        <f t="shared" si="26"/>
        <v>0.5</v>
      </c>
      <c r="R298" s="10">
        <f t="shared" si="27"/>
        <v>1</v>
      </c>
      <c r="S298" s="10">
        <f t="shared" si="28"/>
        <v>1.5</v>
      </c>
      <c r="T298" s="10" t="str">
        <f t="shared" si="29"/>
        <v>★½</v>
      </c>
    </row>
    <row r="299" spans="1:20" s="4" customFormat="1" ht="20" thickBot="1" x14ac:dyDescent="0.3">
      <c r="A299" s="4" t="s">
        <v>438</v>
      </c>
      <c r="B299" s="4" t="s">
        <v>219</v>
      </c>
      <c r="C299" s="4" t="s">
        <v>109</v>
      </c>
      <c r="D299" s="4" t="s">
        <v>24</v>
      </c>
      <c r="E299" s="4">
        <v>27</v>
      </c>
      <c r="F299" s="4">
        <v>1386</v>
      </c>
      <c r="G299" s="4">
        <v>106</v>
      </c>
      <c r="H299" s="5">
        <v>0.35799999999999998</v>
      </c>
      <c r="I299" s="4">
        <v>29</v>
      </c>
      <c r="J299" s="4">
        <v>0</v>
      </c>
      <c r="K299" s="4">
        <v>3</v>
      </c>
      <c r="L299" s="4">
        <v>0</v>
      </c>
      <c r="M299" s="6"/>
      <c r="N299" s="10">
        <f t="shared" si="24"/>
        <v>0</v>
      </c>
      <c r="O299" s="10">
        <f t="shared" si="25"/>
        <v>0</v>
      </c>
      <c r="P299" s="10">
        <f t="shared" si="26"/>
        <v>1</v>
      </c>
      <c r="Q299" s="10">
        <f t="shared" si="26"/>
        <v>0.5</v>
      </c>
      <c r="R299" s="10">
        <f t="shared" si="27"/>
        <v>0</v>
      </c>
      <c r="S299" s="10">
        <f t="shared" si="28"/>
        <v>1.5</v>
      </c>
      <c r="T299" s="10" t="str">
        <f t="shared" si="29"/>
        <v>★½</v>
      </c>
    </row>
    <row r="300" spans="1:20" s="4" customFormat="1" ht="20" thickBot="1" x14ac:dyDescent="0.3">
      <c r="A300" s="4" t="s">
        <v>439</v>
      </c>
      <c r="B300" s="4" t="s">
        <v>241</v>
      </c>
      <c r="C300" s="4" t="s">
        <v>109</v>
      </c>
      <c r="D300" s="4" t="s">
        <v>15</v>
      </c>
      <c r="E300" s="4">
        <v>25</v>
      </c>
      <c r="F300" s="4">
        <v>872.99999999999989</v>
      </c>
      <c r="G300" s="4">
        <v>137</v>
      </c>
      <c r="H300" s="5">
        <v>0.34300000000000003</v>
      </c>
      <c r="I300" s="4">
        <v>15</v>
      </c>
      <c r="J300" s="4">
        <v>2</v>
      </c>
      <c r="K300" s="4">
        <v>3</v>
      </c>
      <c r="L300" s="4">
        <v>0</v>
      </c>
      <c r="M300" s="6"/>
      <c r="N300" s="10">
        <f t="shared" si="24"/>
        <v>0</v>
      </c>
      <c r="O300" s="10">
        <f t="shared" si="25"/>
        <v>0</v>
      </c>
      <c r="P300" s="10">
        <f t="shared" si="26"/>
        <v>0</v>
      </c>
      <c r="Q300" s="10">
        <f t="shared" si="26"/>
        <v>0.5</v>
      </c>
      <c r="R300" s="10">
        <f t="shared" si="27"/>
        <v>0</v>
      </c>
      <c r="S300" s="10">
        <f t="shared" si="28"/>
        <v>0.5</v>
      </c>
      <c r="T300" s="10" t="str">
        <f t="shared" si="29"/>
        <v>☆½</v>
      </c>
    </row>
    <row r="301" spans="1:20" s="4" customFormat="1" ht="20" thickBot="1" x14ac:dyDescent="0.3">
      <c r="A301" s="4" t="s">
        <v>440</v>
      </c>
      <c r="B301" s="4" t="s">
        <v>29</v>
      </c>
      <c r="C301" s="4" t="s">
        <v>109</v>
      </c>
      <c r="D301" s="4" t="s">
        <v>69</v>
      </c>
      <c r="E301" s="4">
        <v>23</v>
      </c>
      <c r="F301" s="4">
        <v>503.99999999999994</v>
      </c>
      <c r="G301" s="4">
        <v>47</v>
      </c>
      <c r="H301" s="5">
        <v>0.27700000000000002</v>
      </c>
      <c r="I301" s="4">
        <v>5</v>
      </c>
      <c r="J301" s="4">
        <v>0</v>
      </c>
      <c r="K301" s="4">
        <v>1</v>
      </c>
      <c r="L301" s="4">
        <v>0</v>
      </c>
      <c r="M301" s="6"/>
      <c r="N301" s="10">
        <f t="shared" si="24"/>
        <v>0</v>
      </c>
      <c r="O301" s="10">
        <f t="shared" si="25"/>
        <v>0</v>
      </c>
      <c r="P301" s="10">
        <f t="shared" si="26"/>
        <v>0</v>
      </c>
      <c r="Q301" s="10">
        <f t="shared" si="26"/>
        <v>0.5</v>
      </c>
      <c r="R301" s="10">
        <f t="shared" si="27"/>
        <v>1</v>
      </c>
      <c r="S301" s="10">
        <f t="shared" si="28"/>
        <v>1.5</v>
      </c>
      <c r="T301" s="10" t="str">
        <f t="shared" si="29"/>
        <v>★½</v>
      </c>
    </row>
    <row r="302" spans="1:20" s="4" customFormat="1" ht="20" thickBot="1" x14ac:dyDescent="0.3">
      <c r="A302" s="4" t="s">
        <v>441</v>
      </c>
      <c r="B302" s="4" t="s">
        <v>279</v>
      </c>
      <c r="C302" s="4" t="s">
        <v>116</v>
      </c>
      <c r="D302" s="4" t="s">
        <v>24</v>
      </c>
      <c r="E302" s="4">
        <v>26</v>
      </c>
      <c r="F302" s="4">
        <v>333</v>
      </c>
      <c r="G302" s="4">
        <v>77</v>
      </c>
      <c r="H302" s="5">
        <v>0.11700000000000001</v>
      </c>
      <c r="I302" s="4">
        <v>5</v>
      </c>
      <c r="J302" s="4">
        <v>0</v>
      </c>
      <c r="K302" s="4">
        <v>0</v>
      </c>
      <c r="L302" s="4">
        <v>0</v>
      </c>
      <c r="M302" s="6"/>
      <c r="N302" s="10">
        <f t="shared" si="24"/>
        <v>0</v>
      </c>
      <c r="O302" s="10">
        <f t="shared" si="25"/>
        <v>0</v>
      </c>
      <c r="P302" s="10">
        <f t="shared" si="26"/>
        <v>0</v>
      </c>
      <c r="Q302" s="10">
        <f t="shared" si="26"/>
        <v>0.5</v>
      </c>
      <c r="R302" s="10">
        <f t="shared" si="27"/>
        <v>1</v>
      </c>
      <c r="S302" s="10">
        <f t="shared" si="28"/>
        <v>1.5</v>
      </c>
      <c r="T302" s="10" t="str">
        <f t="shared" si="29"/>
        <v>★½</v>
      </c>
    </row>
    <row r="303" spans="1:20" s="4" customFormat="1" ht="20" thickBot="1" x14ac:dyDescent="0.3">
      <c r="A303" s="4" t="s">
        <v>442</v>
      </c>
      <c r="B303" s="4" t="s">
        <v>17</v>
      </c>
      <c r="C303" s="4" t="s">
        <v>109</v>
      </c>
      <c r="D303" s="4" t="s">
        <v>33</v>
      </c>
      <c r="E303" s="4">
        <v>22</v>
      </c>
      <c r="F303" s="4">
        <v>368.99999999999994</v>
      </c>
      <c r="G303" s="4">
        <v>50</v>
      </c>
      <c r="H303" s="7">
        <v>0.4</v>
      </c>
      <c r="I303" s="4">
        <v>10</v>
      </c>
      <c r="J303" s="4">
        <v>0</v>
      </c>
      <c r="K303" s="4">
        <v>0</v>
      </c>
      <c r="L303" s="4">
        <v>0</v>
      </c>
      <c r="M303" s="6"/>
      <c r="N303" s="10">
        <f t="shared" si="24"/>
        <v>0</v>
      </c>
      <c r="O303" s="10">
        <f t="shared" si="25"/>
        <v>0</v>
      </c>
      <c r="P303" s="10">
        <f t="shared" si="26"/>
        <v>0</v>
      </c>
      <c r="Q303" s="10">
        <f t="shared" si="26"/>
        <v>0.5</v>
      </c>
      <c r="R303" s="10">
        <f t="shared" si="27"/>
        <v>1</v>
      </c>
      <c r="S303" s="10">
        <f t="shared" si="28"/>
        <v>1.5</v>
      </c>
      <c r="T303" s="10" t="str">
        <f t="shared" si="29"/>
        <v>★½</v>
      </c>
    </row>
    <row r="304" spans="1:20" s="4" customFormat="1" ht="20" thickBot="1" x14ac:dyDescent="0.3">
      <c r="A304" s="4" t="s">
        <v>443</v>
      </c>
      <c r="B304" s="4" t="s">
        <v>60</v>
      </c>
      <c r="C304" s="4" t="s">
        <v>109</v>
      </c>
      <c r="D304" s="4" t="s">
        <v>15</v>
      </c>
      <c r="E304" s="4">
        <v>30</v>
      </c>
      <c r="F304" s="4">
        <v>3060</v>
      </c>
      <c r="G304" s="4">
        <v>124</v>
      </c>
      <c r="H304" s="5">
        <v>0.35499999999999998</v>
      </c>
      <c r="I304" s="4">
        <v>31</v>
      </c>
      <c r="J304" s="4">
        <v>4</v>
      </c>
      <c r="K304" s="4">
        <v>3</v>
      </c>
      <c r="L304" s="4">
        <v>0</v>
      </c>
      <c r="M304" s="6"/>
      <c r="N304" s="10">
        <f t="shared" si="24"/>
        <v>1</v>
      </c>
      <c r="O304" s="10">
        <f t="shared" si="25"/>
        <v>0</v>
      </c>
      <c r="P304" s="10">
        <f t="shared" si="26"/>
        <v>1</v>
      </c>
      <c r="Q304" s="10">
        <f t="shared" si="26"/>
        <v>1</v>
      </c>
      <c r="R304" s="10">
        <f t="shared" si="27"/>
        <v>0</v>
      </c>
      <c r="S304" s="10">
        <f t="shared" si="28"/>
        <v>3</v>
      </c>
      <c r="T304" s="10" t="str">
        <f t="shared" si="29"/>
        <v>★★★</v>
      </c>
    </row>
    <row r="305" spans="1:20" s="4" customFormat="1" ht="20" thickBot="1" x14ac:dyDescent="0.3">
      <c r="A305" s="4" t="s">
        <v>444</v>
      </c>
      <c r="B305" s="4" t="s">
        <v>17</v>
      </c>
      <c r="C305" s="4" t="s">
        <v>109</v>
      </c>
      <c r="D305" s="4" t="s">
        <v>47</v>
      </c>
      <c r="E305" s="4">
        <v>28</v>
      </c>
      <c r="F305" s="4">
        <v>1827</v>
      </c>
      <c r="G305" s="4">
        <v>164</v>
      </c>
      <c r="H305" s="5">
        <v>0.35399999999999998</v>
      </c>
      <c r="I305" s="4">
        <v>32</v>
      </c>
      <c r="J305" s="4">
        <v>2</v>
      </c>
      <c r="K305" s="4">
        <v>0</v>
      </c>
      <c r="L305" s="4">
        <v>0</v>
      </c>
      <c r="M305" s="6"/>
      <c r="N305" s="10">
        <f t="shared" si="24"/>
        <v>1</v>
      </c>
      <c r="O305" s="10">
        <f t="shared" si="25"/>
        <v>0</v>
      </c>
      <c r="P305" s="10">
        <f t="shared" si="26"/>
        <v>1</v>
      </c>
      <c r="Q305" s="10">
        <f t="shared" si="26"/>
        <v>0.5</v>
      </c>
      <c r="R305" s="10">
        <f t="shared" si="27"/>
        <v>1</v>
      </c>
      <c r="S305" s="10">
        <f t="shared" si="28"/>
        <v>3.5</v>
      </c>
      <c r="T305" s="10" t="str">
        <f t="shared" si="29"/>
        <v>★★★½</v>
      </c>
    </row>
    <row r="306" spans="1:20" s="4" customFormat="1" ht="20" thickBot="1" x14ac:dyDescent="0.3">
      <c r="A306" s="4" t="s">
        <v>445</v>
      </c>
      <c r="B306" s="4" t="s">
        <v>60</v>
      </c>
      <c r="C306" s="4" t="s">
        <v>109</v>
      </c>
      <c r="D306" s="4" t="s">
        <v>85</v>
      </c>
      <c r="E306" s="4">
        <v>29</v>
      </c>
      <c r="F306" s="4">
        <v>2871</v>
      </c>
      <c r="G306" s="4">
        <v>350</v>
      </c>
      <c r="H306" s="5">
        <v>0.311</v>
      </c>
      <c r="I306" s="4">
        <v>65</v>
      </c>
      <c r="J306" s="4">
        <v>2</v>
      </c>
      <c r="K306" s="4">
        <v>6</v>
      </c>
      <c r="L306" s="4">
        <v>0</v>
      </c>
      <c r="M306" s="6"/>
      <c r="N306" s="10">
        <f t="shared" si="24"/>
        <v>1</v>
      </c>
      <c r="O306" s="10">
        <f t="shared" si="25"/>
        <v>0</v>
      </c>
      <c r="P306" s="10">
        <f t="shared" si="26"/>
        <v>1</v>
      </c>
      <c r="Q306" s="10">
        <f t="shared" si="26"/>
        <v>0.5</v>
      </c>
      <c r="R306" s="10">
        <f t="shared" si="27"/>
        <v>0</v>
      </c>
      <c r="S306" s="10">
        <f t="shared" si="28"/>
        <v>2.5</v>
      </c>
      <c r="T306" s="10" t="str">
        <f t="shared" si="29"/>
        <v>★★½</v>
      </c>
    </row>
    <row r="307" spans="1:20" s="4" customFormat="1" ht="20" thickBot="1" x14ac:dyDescent="0.3">
      <c r="A307" s="4" t="s">
        <v>446</v>
      </c>
      <c r="B307" s="4" t="s">
        <v>67</v>
      </c>
      <c r="C307" s="4" t="s">
        <v>109</v>
      </c>
      <c r="D307" s="4" t="s">
        <v>87</v>
      </c>
      <c r="E307" s="4">
        <v>28</v>
      </c>
      <c r="F307" s="4">
        <v>567</v>
      </c>
      <c r="G307" s="4">
        <v>60</v>
      </c>
      <c r="H307" s="5">
        <v>0.36699999999999999</v>
      </c>
      <c r="I307" s="4">
        <v>15</v>
      </c>
      <c r="J307" s="4">
        <v>0</v>
      </c>
      <c r="K307" s="4">
        <v>2</v>
      </c>
      <c r="L307" s="4">
        <v>0</v>
      </c>
      <c r="M307" s="6"/>
      <c r="N307" s="10">
        <f t="shared" si="24"/>
        <v>0</v>
      </c>
      <c r="O307" s="10">
        <f t="shared" si="25"/>
        <v>0</v>
      </c>
      <c r="P307" s="10">
        <f t="shared" si="26"/>
        <v>0</v>
      </c>
      <c r="Q307" s="10">
        <f t="shared" si="26"/>
        <v>0.5</v>
      </c>
      <c r="R307" s="10">
        <f t="shared" si="27"/>
        <v>1</v>
      </c>
      <c r="S307" s="10">
        <f t="shared" si="28"/>
        <v>1.5</v>
      </c>
      <c r="T307" s="10" t="str">
        <f t="shared" si="29"/>
        <v>★½</v>
      </c>
    </row>
    <row r="308" spans="1:20" s="4" customFormat="1" ht="20" thickBot="1" x14ac:dyDescent="0.3">
      <c r="A308" s="4" t="s">
        <v>447</v>
      </c>
      <c r="B308" s="4" t="s">
        <v>29</v>
      </c>
      <c r="C308" s="4" t="s">
        <v>109</v>
      </c>
      <c r="D308" s="4" t="s">
        <v>39</v>
      </c>
      <c r="E308" s="4">
        <v>31</v>
      </c>
      <c r="F308" s="4">
        <v>1755</v>
      </c>
      <c r="G308" s="4">
        <v>164</v>
      </c>
      <c r="H308" s="5">
        <v>0.34100000000000003</v>
      </c>
      <c r="I308" s="4">
        <v>20</v>
      </c>
      <c r="J308" s="4">
        <v>2</v>
      </c>
      <c r="K308" s="4">
        <v>1</v>
      </c>
      <c r="L308" s="4">
        <v>0</v>
      </c>
      <c r="M308" s="6"/>
      <c r="N308" s="10">
        <f t="shared" si="24"/>
        <v>1</v>
      </c>
      <c r="O308" s="10">
        <f t="shared" si="25"/>
        <v>0</v>
      </c>
      <c r="P308" s="10">
        <f t="shared" si="26"/>
        <v>0</v>
      </c>
      <c r="Q308" s="10">
        <f t="shared" si="26"/>
        <v>0.5</v>
      </c>
      <c r="R308" s="10">
        <f t="shared" si="27"/>
        <v>1</v>
      </c>
      <c r="S308" s="10">
        <f t="shared" si="28"/>
        <v>2.5</v>
      </c>
      <c r="T308" s="10" t="str">
        <f t="shared" si="29"/>
        <v>★★½</v>
      </c>
    </row>
    <row r="309" spans="1:20" s="4" customFormat="1" ht="20" thickBot="1" x14ac:dyDescent="0.3">
      <c r="A309" s="4" t="s">
        <v>448</v>
      </c>
      <c r="B309" s="4" t="s">
        <v>29</v>
      </c>
      <c r="C309" s="4" t="s">
        <v>109</v>
      </c>
      <c r="D309" s="4" t="s">
        <v>33</v>
      </c>
      <c r="E309" s="4">
        <v>24</v>
      </c>
      <c r="F309" s="4">
        <v>2637</v>
      </c>
      <c r="G309" s="4">
        <v>367</v>
      </c>
      <c r="H309" s="5">
        <v>0.30199999999999999</v>
      </c>
      <c r="I309" s="4">
        <v>53</v>
      </c>
      <c r="J309" s="4">
        <v>3</v>
      </c>
      <c r="K309" s="4">
        <v>5</v>
      </c>
      <c r="L309" s="4">
        <v>0</v>
      </c>
      <c r="M309" s="6"/>
      <c r="N309" s="10">
        <f t="shared" si="24"/>
        <v>1</v>
      </c>
      <c r="O309" s="10">
        <f t="shared" si="25"/>
        <v>0</v>
      </c>
      <c r="P309" s="10">
        <f t="shared" si="26"/>
        <v>1</v>
      </c>
      <c r="Q309" s="10">
        <f t="shared" si="26"/>
        <v>1</v>
      </c>
      <c r="R309" s="10">
        <f t="shared" si="27"/>
        <v>0</v>
      </c>
      <c r="S309" s="10">
        <f t="shared" si="28"/>
        <v>3</v>
      </c>
      <c r="T309" s="10" t="str">
        <f t="shared" si="29"/>
        <v>★★★</v>
      </c>
    </row>
    <row r="310" spans="1:20" s="4" customFormat="1" ht="20" thickBot="1" x14ac:dyDescent="0.3">
      <c r="A310" s="4" t="s">
        <v>449</v>
      </c>
      <c r="B310" s="4" t="s">
        <v>29</v>
      </c>
      <c r="C310" s="4" t="s">
        <v>109</v>
      </c>
      <c r="D310" s="4" t="s">
        <v>47</v>
      </c>
      <c r="E310" s="4">
        <v>23</v>
      </c>
      <c r="F310" s="4">
        <v>1790.9999999999998</v>
      </c>
      <c r="G310" s="4">
        <v>225</v>
      </c>
      <c r="H310" s="5">
        <v>0.28399999999999997</v>
      </c>
      <c r="I310" s="4">
        <v>56</v>
      </c>
      <c r="J310" s="4">
        <v>0</v>
      </c>
      <c r="K310" s="4">
        <v>2</v>
      </c>
      <c r="L310" s="4">
        <v>0</v>
      </c>
      <c r="M310" s="6"/>
      <c r="N310" s="10">
        <f t="shared" si="24"/>
        <v>1</v>
      </c>
      <c r="O310" s="10">
        <f t="shared" si="25"/>
        <v>0</v>
      </c>
      <c r="P310" s="10">
        <f t="shared" si="26"/>
        <v>1</v>
      </c>
      <c r="Q310" s="10">
        <f t="shared" si="26"/>
        <v>0.5</v>
      </c>
      <c r="R310" s="10">
        <f t="shared" si="27"/>
        <v>1</v>
      </c>
      <c r="S310" s="10">
        <f t="shared" si="28"/>
        <v>3.5</v>
      </c>
      <c r="T310" s="10" t="str">
        <f t="shared" si="29"/>
        <v>★★★½</v>
      </c>
    </row>
    <row r="311" spans="1:20" s="4" customFormat="1" ht="20" thickBot="1" x14ac:dyDescent="0.3">
      <c r="A311" s="4" t="s">
        <v>450</v>
      </c>
      <c r="B311" s="4" t="s">
        <v>29</v>
      </c>
      <c r="C311" s="4" t="s">
        <v>109</v>
      </c>
      <c r="D311" s="4" t="s">
        <v>30</v>
      </c>
      <c r="E311" s="4">
        <v>31</v>
      </c>
      <c r="F311" s="4">
        <v>2484</v>
      </c>
      <c r="G311" s="4">
        <v>284</v>
      </c>
      <c r="H311" s="5">
        <v>0.29599999999999999</v>
      </c>
      <c r="I311" s="4">
        <v>53</v>
      </c>
      <c r="J311" s="4">
        <v>0</v>
      </c>
      <c r="K311" s="4">
        <v>8</v>
      </c>
      <c r="L311" s="4">
        <v>0</v>
      </c>
      <c r="M311" s="6"/>
      <c r="N311" s="10">
        <f t="shared" si="24"/>
        <v>1</v>
      </c>
      <c r="O311" s="10">
        <f t="shared" si="25"/>
        <v>0</v>
      </c>
      <c r="P311" s="10">
        <f t="shared" si="26"/>
        <v>1</v>
      </c>
      <c r="Q311" s="10">
        <f t="shared" si="26"/>
        <v>0.5</v>
      </c>
      <c r="R311" s="10">
        <f t="shared" si="27"/>
        <v>0</v>
      </c>
      <c r="S311" s="10">
        <f t="shared" si="28"/>
        <v>2.5</v>
      </c>
      <c r="T311" s="10" t="str">
        <f t="shared" si="29"/>
        <v>★★½</v>
      </c>
    </row>
    <row r="312" spans="1:20" s="4" customFormat="1" ht="20" thickBot="1" x14ac:dyDescent="0.3">
      <c r="A312" s="4" t="s">
        <v>451</v>
      </c>
      <c r="B312" s="4" t="s">
        <v>29</v>
      </c>
      <c r="C312" s="4" t="s">
        <v>116</v>
      </c>
      <c r="D312" s="4" t="s">
        <v>33</v>
      </c>
      <c r="E312" s="4">
        <v>26</v>
      </c>
      <c r="F312" s="4">
        <v>3213.0000000000005</v>
      </c>
      <c r="G312" s="4">
        <v>551</v>
      </c>
      <c r="H312" s="5">
        <v>0.307</v>
      </c>
      <c r="I312" s="4">
        <v>65</v>
      </c>
      <c r="J312" s="4">
        <v>15</v>
      </c>
      <c r="K312" s="4">
        <v>3</v>
      </c>
      <c r="L312" s="4">
        <v>1</v>
      </c>
      <c r="M312" s="6"/>
      <c r="N312" s="10">
        <f t="shared" si="24"/>
        <v>1</v>
      </c>
      <c r="O312" s="10">
        <f t="shared" si="25"/>
        <v>0</v>
      </c>
      <c r="P312" s="10">
        <f t="shared" si="26"/>
        <v>1</v>
      </c>
      <c r="Q312" s="10">
        <f t="shared" si="26"/>
        <v>1</v>
      </c>
      <c r="R312" s="10">
        <f t="shared" si="27"/>
        <v>0</v>
      </c>
      <c r="S312" s="10">
        <f t="shared" si="28"/>
        <v>3</v>
      </c>
      <c r="T312" s="10" t="str">
        <f t="shared" si="29"/>
        <v>★★★</v>
      </c>
    </row>
    <row r="313" spans="1:20" s="4" customFormat="1" ht="20" thickBot="1" x14ac:dyDescent="0.3">
      <c r="A313" s="4" t="s">
        <v>452</v>
      </c>
      <c r="B313" s="4" t="s">
        <v>29</v>
      </c>
      <c r="C313" s="4" t="s">
        <v>109</v>
      </c>
      <c r="D313" s="4" t="s">
        <v>85</v>
      </c>
      <c r="E313" s="4">
        <v>26</v>
      </c>
      <c r="F313" s="4">
        <v>1431</v>
      </c>
      <c r="G313" s="4">
        <v>118</v>
      </c>
      <c r="H313" s="5">
        <v>0.38100000000000001</v>
      </c>
      <c r="I313" s="4">
        <v>35</v>
      </c>
      <c r="J313" s="4">
        <v>2</v>
      </c>
      <c r="K313" s="4">
        <v>5</v>
      </c>
      <c r="L313" s="4">
        <v>0</v>
      </c>
      <c r="M313" s="6"/>
      <c r="N313" s="10">
        <f t="shared" si="24"/>
        <v>0</v>
      </c>
      <c r="O313" s="10">
        <f t="shared" si="25"/>
        <v>0</v>
      </c>
      <c r="P313" s="10">
        <f t="shared" si="26"/>
        <v>1</v>
      </c>
      <c r="Q313" s="10">
        <f t="shared" si="26"/>
        <v>0.5</v>
      </c>
      <c r="R313" s="10">
        <f t="shared" si="27"/>
        <v>0</v>
      </c>
      <c r="S313" s="10">
        <f t="shared" si="28"/>
        <v>1.5</v>
      </c>
      <c r="T313" s="10" t="str">
        <f t="shared" si="29"/>
        <v>★½</v>
      </c>
    </row>
    <row r="314" spans="1:20" s="4" customFormat="1" ht="20" thickBot="1" x14ac:dyDescent="0.3">
      <c r="A314" s="4" t="s">
        <v>453</v>
      </c>
      <c r="B314" s="4" t="s">
        <v>29</v>
      </c>
      <c r="C314" s="4" t="s">
        <v>116</v>
      </c>
      <c r="D314" s="4" t="s">
        <v>53</v>
      </c>
      <c r="E314" s="4">
        <v>31</v>
      </c>
      <c r="F314" s="4">
        <v>2286</v>
      </c>
      <c r="G314" s="4">
        <v>434</v>
      </c>
      <c r="H314" s="5">
        <v>0.21199999999999999</v>
      </c>
      <c r="I314" s="4">
        <v>19</v>
      </c>
      <c r="J314" s="4">
        <v>3</v>
      </c>
      <c r="K314" s="4">
        <v>7</v>
      </c>
      <c r="L314" s="4">
        <v>0</v>
      </c>
      <c r="M314" s="6"/>
      <c r="N314" s="10">
        <f t="shared" si="24"/>
        <v>1</v>
      </c>
      <c r="O314" s="10">
        <f t="shared" si="25"/>
        <v>0</v>
      </c>
      <c r="P314" s="10">
        <f t="shared" si="26"/>
        <v>0</v>
      </c>
      <c r="Q314" s="10">
        <f t="shared" si="26"/>
        <v>1</v>
      </c>
      <c r="R314" s="10">
        <f t="shared" si="27"/>
        <v>0</v>
      </c>
      <c r="S314" s="10">
        <f t="shared" si="28"/>
        <v>2</v>
      </c>
      <c r="T314" s="10" t="str">
        <f t="shared" si="29"/>
        <v>★★</v>
      </c>
    </row>
    <row r="315" spans="1:20" s="4" customFormat="1" ht="20" thickBot="1" x14ac:dyDescent="0.3">
      <c r="A315" s="4" t="s">
        <v>454</v>
      </c>
      <c r="B315" s="4" t="s">
        <v>29</v>
      </c>
      <c r="C315" s="4" t="s">
        <v>109</v>
      </c>
      <c r="D315" s="4" t="s">
        <v>63</v>
      </c>
      <c r="E315" s="4">
        <v>23</v>
      </c>
      <c r="F315" s="4">
        <v>2880</v>
      </c>
      <c r="G315" s="4">
        <v>252</v>
      </c>
      <c r="H315" s="5">
        <v>0.32500000000000001</v>
      </c>
      <c r="I315" s="4">
        <v>54</v>
      </c>
      <c r="J315" s="4">
        <v>0</v>
      </c>
      <c r="K315" s="4">
        <v>3</v>
      </c>
      <c r="L315" s="4">
        <v>0</v>
      </c>
      <c r="M315" s="6"/>
      <c r="N315" s="10">
        <f t="shared" si="24"/>
        <v>1</v>
      </c>
      <c r="O315" s="10">
        <f t="shared" si="25"/>
        <v>1</v>
      </c>
      <c r="P315" s="10">
        <f t="shared" si="26"/>
        <v>1</v>
      </c>
      <c r="Q315" s="10">
        <f t="shared" si="26"/>
        <v>0.5</v>
      </c>
      <c r="R315" s="10">
        <f t="shared" si="27"/>
        <v>0</v>
      </c>
      <c r="S315" s="10">
        <f t="shared" si="28"/>
        <v>3.5</v>
      </c>
      <c r="T315" s="10" t="str">
        <f t="shared" si="29"/>
        <v>★★★½</v>
      </c>
    </row>
    <row r="316" spans="1:20" s="4" customFormat="1" ht="20" thickBot="1" x14ac:dyDescent="0.3">
      <c r="A316" s="4" t="s">
        <v>455</v>
      </c>
      <c r="B316" s="4" t="s">
        <v>29</v>
      </c>
      <c r="C316" s="4" t="s">
        <v>109</v>
      </c>
      <c r="D316" s="4" t="s">
        <v>50</v>
      </c>
      <c r="E316" s="4">
        <v>20</v>
      </c>
      <c r="F316" s="4">
        <v>2124</v>
      </c>
      <c r="G316" s="4">
        <v>317</v>
      </c>
      <c r="H316" s="5">
        <v>0.25600000000000001</v>
      </c>
      <c r="I316" s="4">
        <v>51</v>
      </c>
      <c r="J316" s="4">
        <v>1</v>
      </c>
      <c r="K316" s="4">
        <v>8</v>
      </c>
      <c r="L316" s="4">
        <v>0</v>
      </c>
      <c r="M316" s="6"/>
      <c r="N316" s="10">
        <f t="shared" si="24"/>
        <v>1</v>
      </c>
      <c r="O316" s="10">
        <f t="shared" si="25"/>
        <v>0</v>
      </c>
      <c r="P316" s="10">
        <f t="shared" si="26"/>
        <v>1</v>
      </c>
      <c r="Q316" s="10">
        <f t="shared" si="26"/>
        <v>0.5</v>
      </c>
      <c r="R316" s="10">
        <f t="shared" si="27"/>
        <v>0</v>
      </c>
      <c r="S316" s="10">
        <f t="shared" si="28"/>
        <v>2.5</v>
      </c>
      <c r="T316" s="10" t="str">
        <f t="shared" si="29"/>
        <v>★★½</v>
      </c>
    </row>
    <row r="317" spans="1:20" s="4" customFormat="1" ht="20" thickBot="1" x14ac:dyDescent="0.3">
      <c r="A317" s="4" t="s">
        <v>456</v>
      </c>
      <c r="B317" s="4" t="s">
        <v>52</v>
      </c>
      <c r="C317" s="4" t="s">
        <v>109</v>
      </c>
      <c r="D317" s="4" t="s">
        <v>15</v>
      </c>
      <c r="E317" s="4">
        <v>20</v>
      </c>
      <c r="F317" s="4">
        <v>9</v>
      </c>
      <c r="G317" s="4">
        <v>1</v>
      </c>
      <c r="H317" s="7">
        <v>0</v>
      </c>
      <c r="I317" s="4">
        <v>0</v>
      </c>
      <c r="J317" s="4">
        <v>1</v>
      </c>
      <c r="K317" s="4">
        <v>0</v>
      </c>
      <c r="L317" s="4">
        <v>0</v>
      </c>
      <c r="M317" s="6"/>
      <c r="N317" s="10">
        <f t="shared" si="24"/>
        <v>0</v>
      </c>
      <c r="O317" s="10">
        <f t="shared" si="25"/>
        <v>0</v>
      </c>
      <c r="P317" s="10">
        <f t="shared" si="26"/>
        <v>0</v>
      </c>
      <c r="Q317" s="10">
        <f t="shared" si="26"/>
        <v>0.5</v>
      </c>
      <c r="R317" s="10">
        <f t="shared" si="27"/>
        <v>1</v>
      </c>
      <c r="S317" s="10">
        <f t="shared" si="28"/>
        <v>1.5</v>
      </c>
      <c r="T317" s="10" t="str">
        <f t="shared" si="29"/>
        <v>★½</v>
      </c>
    </row>
    <row r="318" spans="1:20" s="4" customFormat="1" ht="20" thickBot="1" x14ac:dyDescent="0.3">
      <c r="A318" s="4" t="s">
        <v>457</v>
      </c>
      <c r="B318" s="4" t="s">
        <v>29</v>
      </c>
      <c r="C318" s="4" t="s">
        <v>116</v>
      </c>
      <c r="D318" s="4" t="s">
        <v>35</v>
      </c>
      <c r="E318" s="4">
        <v>21</v>
      </c>
      <c r="F318" s="4">
        <v>2034.0000000000002</v>
      </c>
      <c r="G318" s="4">
        <v>535</v>
      </c>
      <c r="H318" s="5">
        <v>0.221</v>
      </c>
      <c r="I318" s="4">
        <v>38</v>
      </c>
      <c r="J318" s="4">
        <v>2</v>
      </c>
      <c r="K318" s="4">
        <v>0</v>
      </c>
      <c r="L318" s="4">
        <v>0</v>
      </c>
      <c r="M318" s="6"/>
      <c r="N318" s="10">
        <f t="shared" si="24"/>
        <v>1</v>
      </c>
      <c r="O318" s="10">
        <f t="shared" si="25"/>
        <v>0</v>
      </c>
      <c r="P318" s="10">
        <f t="shared" si="26"/>
        <v>1</v>
      </c>
      <c r="Q318" s="10">
        <f t="shared" si="26"/>
        <v>0.5</v>
      </c>
      <c r="R318" s="10">
        <f t="shared" si="27"/>
        <v>1</v>
      </c>
      <c r="S318" s="10">
        <f t="shared" si="28"/>
        <v>3.5</v>
      </c>
      <c r="T318" s="10" t="str">
        <f t="shared" si="29"/>
        <v>★★★½</v>
      </c>
    </row>
    <row r="319" spans="1:20" s="4" customFormat="1" ht="20" thickBot="1" x14ac:dyDescent="0.3">
      <c r="A319" s="4" t="s">
        <v>458</v>
      </c>
      <c r="B319" s="4" t="s">
        <v>29</v>
      </c>
      <c r="C319" s="4" t="s">
        <v>116</v>
      </c>
      <c r="D319" s="4" t="s">
        <v>65</v>
      </c>
      <c r="E319" s="4">
        <v>25</v>
      </c>
      <c r="F319" s="4">
        <v>909</v>
      </c>
      <c r="G319" s="4">
        <v>145</v>
      </c>
      <c r="H319" s="5">
        <v>0.221</v>
      </c>
      <c r="I319" s="4">
        <v>18</v>
      </c>
      <c r="J319" s="4">
        <v>1</v>
      </c>
      <c r="K319" s="4">
        <v>2</v>
      </c>
      <c r="L319" s="4">
        <v>0</v>
      </c>
      <c r="M319" s="6"/>
      <c r="N319" s="10">
        <f t="shared" si="24"/>
        <v>0</v>
      </c>
      <c r="O319" s="10">
        <f t="shared" si="25"/>
        <v>0</v>
      </c>
      <c r="P319" s="10">
        <f t="shared" si="26"/>
        <v>0</v>
      </c>
      <c r="Q319" s="10">
        <f t="shared" si="26"/>
        <v>0.5</v>
      </c>
      <c r="R319" s="10">
        <f t="shared" si="27"/>
        <v>1</v>
      </c>
      <c r="S319" s="10">
        <f t="shared" si="28"/>
        <v>1.5</v>
      </c>
      <c r="T319" s="10" t="str">
        <f t="shared" si="29"/>
        <v>★½</v>
      </c>
    </row>
    <row r="320" spans="1:20" s="4" customFormat="1" ht="20" thickBot="1" x14ac:dyDescent="0.3">
      <c r="A320" s="4" t="s">
        <v>459</v>
      </c>
      <c r="B320" s="4" t="s">
        <v>402</v>
      </c>
      <c r="C320" s="4" t="s">
        <v>228</v>
      </c>
      <c r="D320" s="4" t="s">
        <v>63</v>
      </c>
      <c r="E320" s="4">
        <v>28</v>
      </c>
      <c r="F320" s="4">
        <v>2331</v>
      </c>
      <c r="G320" s="4">
        <v>300</v>
      </c>
      <c r="H320" s="7">
        <v>0.28000000000000003</v>
      </c>
      <c r="I320" s="4">
        <v>36</v>
      </c>
      <c r="J320" s="4">
        <v>3</v>
      </c>
      <c r="K320" s="4">
        <v>10</v>
      </c>
      <c r="L320" s="4">
        <v>1</v>
      </c>
      <c r="M320" s="6"/>
      <c r="N320" s="10">
        <f t="shared" si="24"/>
        <v>1</v>
      </c>
      <c r="O320" s="10">
        <f t="shared" si="25"/>
        <v>0</v>
      </c>
      <c r="P320" s="10">
        <f t="shared" si="26"/>
        <v>1</v>
      </c>
      <c r="Q320" s="10">
        <f t="shared" si="26"/>
        <v>1</v>
      </c>
      <c r="R320" s="10">
        <f t="shared" si="27"/>
        <v>0</v>
      </c>
      <c r="S320" s="10">
        <f t="shared" si="28"/>
        <v>3</v>
      </c>
      <c r="T320" s="10" t="str">
        <f t="shared" si="29"/>
        <v>★★★</v>
      </c>
    </row>
    <row r="321" spans="1:20" s="4" customFormat="1" ht="20" thickBot="1" x14ac:dyDescent="0.3">
      <c r="A321" s="4" t="s">
        <v>460</v>
      </c>
      <c r="B321" s="4" t="s">
        <v>29</v>
      </c>
      <c r="C321" s="4" t="s">
        <v>304</v>
      </c>
      <c r="D321" s="4" t="s">
        <v>69</v>
      </c>
      <c r="E321" s="4">
        <v>36</v>
      </c>
      <c r="F321" s="4">
        <v>1251</v>
      </c>
      <c r="G321" s="4">
        <v>145</v>
      </c>
      <c r="H321" s="5">
        <v>0.24099999999999999</v>
      </c>
      <c r="I321" s="4">
        <v>12</v>
      </c>
      <c r="J321" s="4">
        <v>2</v>
      </c>
      <c r="K321" s="4">
        <v>2</v>
      </c>
      <c r="L321" s="4">
        <v>0</v>
      </c>
      <c r="M321" s="6"/>
      <c r="N321" s="10">
        <f t="shared" si="24"/>
        <v>0</v>
      </c>
      <c r="O321" s="10">
        <f t="shared" si="25"/>
        <v>0</v>
      </c>
      <c r="P321" s="10">
        <f t="shared" si="26"/>
        <v>0</v>
      </c>
      <c r="Q321" s="10">
        <f t="shared" si="26"/>
        <v>0.5</v>
      </c>
      <c r="R321" s="10">
        <f t="shared" si="27"/>
        <v>1</v>
      </c>
      <c r="S321" s="10">
        <f t="shared" si="28"/>
        <v>1.5</v>
      </c>
      <c r="T321" s="10" t="str">
        <f t="shared" si="29"/>
        <v>★½</v>
      </c>
    </row>
    <row r="322" spans="1:20" s="4" customFormat="1" ht="20" thickBot="1" x14ac:dyDescent="0.3">
      <c r="A322" s="4" t="s">
        <v>461</v>
      </c>
      <c r="B322" s="4" t="s">
        <v>62</v>
      </c>
      <c r="C322" s="4" t="s">
        <v>109</v>
      </c>
      <c r="D322" s="4" t="s">
        <v>50</v>
      </c>
      <c r="E322" s="4">
        <v>28</v>
      </c>
      <c r="F322" s="4">
        <v>153</v>
      </c>
      <c r="G322" s="4">
        <v>24</v>
      </c>
      <c r="H322" s="5">
        <v>0.375</v>
      </c>
      <c r="I322" s="4">
        <v>0</v>
      </c>
      <c r="J322" s="4">
        <v>0</v>
      </c>
      <c r="K322" s="4">
        <v>0</v>
      </c>
      <c r="L322" s="4">
        <v>0</v>
      </c>
      <c r="M322" s="6"/>
      <c r="N322" s="10">
        <f t="shared" si="24"/>
        <v>0</v>
      </c>
      <c r="O322" s="10">
        <f t="shared" si="25"/>
        <v>0</v>
      </c>
      <c r="P322" s="10">
        <f t="shared" si="26"/>
        <v>0</v>
      </c>
      <c r="Q322" s="10">
        <f t="shared" si="26"/>
        <v>0.5</v>
      </c>
      <c r="R322" s="10">
        <f t="shared" si="27"/>
        <v>1</v>
      </c>
      <c r="S322" s="10">
        <f t="shared" si="28"/>
        <v>1.5</v>
      </c>
      <c r="T322" s="10" t="str">
        <f t="shared" si="29"/>
        <v>★½</v>
      </c>
    </row>
    <row r="323" spans="1:20" s="4" customFormat="1" ht="20" thickBot="1" x14ac:dyDescent="0.3">
      <c r="A323" s="4" t="s">
        <v>462</v>
      </c>
      <c r="B323" s="4" t="s">
        <v>353</v>
      </c>
      <c r="C323" s="4" t="s">
        <v>109</v>
      </c>
      <c r="D323" s="4" t="s">
        <v>39</v>
      </c>
      <c r="E323" s="4">
        <v>24</v>
      </c>
      <c r="F323" s="4">
        <v>1044</v>
      </c>
      <c r="G323" s="4">
        <v>94</v>
      </c>
      <c r="H323" s="7">
        <v>0.33</v>
      </c>
      <c r="I323" s="4">
        <v>18</v>
      </c>
      <c r="J323" s="4">
        <v>4</v>
      </c>
      <c r="K323" s="4">
        <v>0</v>
      </c>
      <c r="L323" s="4">
        <v>0</v>
      </c>
      <c r="M323" s="6"/>
      <c r="N323" s="10">
        <f t="shared" ref="N323:N324" si="30">IFERROR(_xlfn.IFS(F323&gt;=F$326,1,F323&gt;=F$325,0.5),0)</f>
        <v>0</v>
      </c>
      <c r="O323" s="10">
        <f t="shared" ref="O323:O324" si="31">IFERROR(_xlfn.IFS(AND(G323&gt;=G$326,H323&gt;=H$326),1,AND(G323&gt;=G$325,H323&gt;=H$325),0.5),0)</f>
        <v>0</v>
      </c>
      <c r="P323" s="10">
        <f t="shared" ref="P323:Q324" si="32">IFERROR(_xlfn.IFS(I323&gt;=I$326,1,I323&gt;=I$325,0.5),0)</f>
        <v>0</v>
      </c>
      <c r="Q323" s="10">
        <f t="shared" si="32"/>
        <v>1</v>
      </c>
      <c r="R323" s="10">
        <f t="shared" ref="R323:R324" si="33">IFERROR(_xlfn.IFS(AND(K323&lt;=K$326,L323&lt;=L$326),1,AND(K323&lt;=K$325,L323&lt;=L$325),0.5),0)</f>
        <v>1</v>
      </c>
      <c r="S323" s="10">
        <f t="shared" ref="S323:S324" si="34">SUM(N323:R323)</f>
        <v>2</v>
      </c>
      <c r="T323" s="10" t="str">
        <f t="shared" ref="T323:T324" si="35">_xlfn.IFS(S323=0,"☆",S323=0.5,"☆½",  S323=1,"★",S323 =1.5,"★½", S323 =2.5,"★★½", S323=2,"★★", S323=3,"★★★", S323 =3.5,"★★★½",S323=4,"★★★★", S323 =4.5,"★★★★½", S323=5,"★★★★★")</f>
        <v>★★</v>
      </c>
    </row>
    <row r="324" spans="1:20" s="4" customFormat="1" ht="20" thickBot="1" x14ac:dyDescent="0.3">
      <c r="A324" s="4" t="s">
        <v>463</v>
      </c>
      <c r="B324" s="4" t="s">
        <v>17</v>
      </c>
      <c r="C324" s="4" t="s">
        <v>109</v>
      </c>
      <c r="D324" s="4" t="s">
        <v>18</v>
      </c>
      <c r="E324" s="4">
        <v>26</v>
      </c>
      <c r="F324" s="4">
        <v>2079</v>
      </c>
      <c r="G324" s="4">
        <v>107</v>
      </c>
      <c r="H324" s="5">
        <v>0.32700000000000001</v>
      </c>
      <c r="I324" s="4">
        <v>38</v>
      </c>
      <c r="J324" s="4">
        <v>1</v>
      </c>
      <c r="K324" s="4">
        <v>1</v>
      </c>
      <c r="L324" s="4">
        <v>0</v>
      </c>
      <c r="M324" s="6"/>
      <c r="N324" s="10">
        <f t="shared" si="30"/>
        <v>1</v>
      </c>
      <c r="O324" s="10">
        <f t="shared" si="31"/>
        <v>0</v>
      </c>
      <c r="P324" s="10">
        <f t="shared" si="32"/>
        <v>1</v>
      </c>
      <c r="Q324" s="10">
        <f t="shared" si="32"/>
        <v>0.5</v>
      </c>
      <c r="R324" s="10">
        <f t="shared" si="33"/>
        <v>1</v>
      </c>
      <c r="S324" s="10">
        <f t="shared" si="34"/>
        <v>3.5</v>
      </c>
      <c r="T324" s="10" t="str">
        <f t="shared" si="35"/>
        <v>★★★½</v>
      </c>
    </row>
    <row r="325" spans="1:20" ht="20" thickBot="1" x14ac:dyDescent="0.3">
      <c r="E325" s="12" t="s">
        <v>94</v>
      </c>
      <c r="F325" s="13">
        <v>1440</v>
      </c>
      <c r="G325" s="13">
        <f>MEDIAN(G2:G324)</f>
        <v>175</v>
      </c>
      <c r="H325" s="14">
        <v>0.312</v>
      </c>
      <c r="I325" s="13">
        <f>MEDIAN(I2:I324)</f>
        <v>28</v>
      </c>
      <c r="J325" s="13">
        <v>0</v>
      </c>
      <c r="K325" s="13">
        <f t="shared" ref="K325:L325" si="36">MEDIAN(K2:K324)</f>
        <v>2</v>
      </c>
      <c r="L325" s="13">
        <f t="shared" si="36"/>
        <v>0</v>
      </c>
      <c r="M325" s="6"/>
    </row>
    <row r="326" spans="1:20" ht="20" thickBot="1" x14ac:dyDescent="0.3">
      <c r="E326" s="12" t="s">
        <v>464</v>
      </c>
      <c r="F326" s="13">
        <v>1447.19</v>
      </c>
      <c r="G326" s="13">
        <v>217.86</v>
      </c>
      <c r="H326" s="16">
        <v>0.312</v>
      </c>
      <c r="I326" s="13">
        <v>28.34</v>
      </c>
      <c r="J326" s="13">
        <v>2.19</v>
      </c>
      <c r="K326" s="13">
        <v>2.96</v>
      </c>
      <c r="L326" s="13">
        <v>0.1</v>
      </c>
    </row>
    <row r="327" spans="1:20" x14ac:dyDescent="0.25">
      <c r="H327" s="8"/>
    </row>
    <row r="328" spans="1:20" x14ac:dyDescent="0.25">
      <c r="H328" s="8"/>
    </row>
    <row r="329" spans="1:20" x14ac:dyDescent="0.25">
      <c r="H329" s="8"/>
    </row>
    <row r="330" spans="1:20" x14ac:dyDescent="0.25">
      <c r="H330" s="8"/>
    </row>
    <row r="331" spans="1:20" x14ac:dyDescent="0.25">
      <c r="H331" s="8"/>
    </row>
    <row r="332" spans="1:20" x14ac:dyDescent="0.25">
      <c r="H332" s="8"/>
    </row>
    <row r="333" spans="1:20" x14ac:dyDescent="0.25">
      <c r="H333" s="8"/>
    </row>
    <row r="334" spans="1:20" x14ac:dyDescent="0.25">
      <c r="H334" s="8"/>
    </row>
    <row r="335" spans="1:20" x14ac:dyDescent="0.25">
      <c r="H335" s="8"/>
    </row>
    <row r="336" spans="1:20" x14ac:dyDescent="0.25">
      <c r="H336" s="8"/>
    </row>
    <row r="337" spans="8:8" x14ac:dyDescent="0.25">
      <c r="H337" s="8"/>
    </row>
    <row r="338" spans="8:8" x14ac:dyDescent="0.25">
      <c r="H338" s="8"/>
    </row>
    <row r="339" spans="8:8" x14ac:dyDescent="0.25">
      <c r="H339" s="8"/>
    </row>
    <row r="340" spans="8:8" x14ac:dyDescent="0.25">
      <c r="H340" s="8"/>
    </row>
    <row r="341" spans="8:8" x14ac:dyDescent="0.25">
      <c r="H341" s="8"/>
    </row>
    <row r="342" spans="8:8" x14ac:dyDescent="0.25">
      <c r="H342" s="8"/>
    </row>
    <row r="343" spans="8:8" x14ac:dyDescent="0.25">
      <c r="H343" s="8"/>
    </row>
    <row r="344" spans="8:8" x14ac:dyDescent="0.25">
      <c r="H344" s="8"/>
    </row>
    <row r="345" spans="8:8" x14ac:dyDescent="0.25">
      <c r="H345" s="8"/>
    </row>
    <row r="346" spans="8:8" x14ac:dyDescent="0.25">
      <c r="H346" s="8"/>
    </row>
    <row r="347" spans="8:8" x14ac:dyDescent="0.25">
      <c r="H347" s="8"/>
    </row>
    <row r="348" spans="8:8" x14ac:dyDescent="0.25">
      <c r="H348" s="8"/>
    </row>
    <row r="349" spans="8:8" x14ac:dyDescent="0.25">
      <c r="H349" s="8"/>
    </row>
    <row r="350" spans="8:8" x14ac:dyDescent="0.25">
      <c r="H350" s="8"/>
    </row>
    <row r="351" spans="8:8" x14ac:dyDescent="0.25">
      <c r="H351" s="8"/>
    </row>
    <row r="352" spans="8:8" x14ac:dyDescent="0.25">
      <c r="H352" s="8"/>
    </row>
    <row r="353" spans="8:8" x14ac:dyDescent="0.25">
      <c r="H353" s="8"/>
    </row>
    <row r="354" spans="8:8" x14ac:dyDescent="0.25">
      <c r="H354" s="8"/>
    </row>
    <row r="355" spans="8:8" x14ac:dyDescent="0.25">
      <c r="H355" s="8"/>
    </row>
    <row r="356" spans="8:8" x14ac:dyDescent="0.25">
      <c r="H356" s="8"/>
    </row>
    <row r="357" spans="8:8" x14ac:dyDescent="0.25">
      <c r="H357" s="8"/>
    </row>
    <row r="358" spans="8:8" x14ac:dyDescent="0.25">
      <c r="H358" s="8"/>
    </row>
    <row r="359" spans="8:8" x14ac:dyDescent="0.25">
      <c r="H359" s="8"/>
    </row>
    <row r="360" spans="8:8" x14ac:dyDescent="0.25">
      <c r="H360" s="8"/>
    </row>
    <row r="361" spans="8:8" x14ac:dyDescent="0.25">
      <c r="H361" s="8"/>
    </row>
    <row r="362" spans="8:8" x14ac:dyDescent="0.25">
      <c r="H362" s="8"/>
    </row>
    <row r="363" spans="8:8" x14ac:dyDescent="0.25">
      <c r="H363" s="8"/>
    </row>
    <row r="364" spans="8:8" x14ac:dyDescent="0.25">
      <c r="H364" s="8"/>
    </row>
    <row r="365" spans="8:8" x14ac:dyDescent="0.25">
      <c r="H365" s="8"/>
    </row>
    <row r="366" spans="8:8" x14ac:dyDescent="0.25">
      <c r="H366" s="8"/>
    </row>
    <row r="367" spans="8:8" x14ac:dyDescent="0.25">
      <c r="H367" s="8"/>
    </row>
    <row r="368" spans="8:8" x14ac:dyDescent="0.25">
      <c r="H368" s="8"/>
    </row>
    <row r="369" spans="8:8" x14ac:dyDescent="0.25">
      <c r="H369" s="8"/>
    </row>
    <row r="370" spans="8:8" x14ac:dyDescent="0.25">
      <c r="H370" s="8"/>
    </row>
    <row r="371" spans="8:8" x14ac:dyDescent="0.25">
      <c r="H371" s="8"/>
    </row>
    <row r="372" spans="8:8" x14ac:dyDescent="0.25">
      <c r="H372" s="8"/>
    </row>
    <row r="373" spans="8:8" x14ac:dyDescent="0.25">
      <c r="H373" s="8"/>
    </row>
    <row r="374" spans="8:8" x14ac:dyDescent="0.25">
      <c r="H374" s="8"/>
    </row>
    <row r="375" spans="8:8" x14ac:dyDescent="0.25">
      <c r="H375" s="8"/>
    </row>
    <row r="376" spans="8:8" x14ac:dyDescent="0.25">
      <c r="H376" s="8"/>
    </row>
    <row r="377" spans="8:8" x14ac:dyDescent="0.25">
      <c r="H377" s="8"/>
    </row>
    <row r="378" spans="8:8" x14ac:dyDescent="0.25">
      <c r="H378" s="8"/>
    </row>
    <row r="379" spans="8:8" x14ac:dyDescent="0.25">
      <c r="H379" s="8"/>
    </row>
    <row r="380" spans="8:8" x14ac:dyDescent="0.25">
      <c r="H380" s="8"/>
    </row>
    <row r="381" spans="8:8" x14ac:dyDescent="0.25">
      <c r="H381" s="8"/>
    </row>
    <row r="382" spans="8:8" x14ac:dyDescent="0.25">
      <c r="H382" s="8"/>
    </row>
    <row r="383" spans="8:8" x14ac:dyDescent="0.25">
      <c r="H383" s="8"/>
    </row>
    <row r="384" spans="8:8" x14ac:dyDescent="0.25">
      <c r="H384" s="8"/>
    </row>
    <row r="385" spans="8:8" x14ac:dyDescent="0.25">
      <c r="H385" s="8"/>
    </row>
    <row r="386" spans="8:8" x14ac:dyDescent="0.25">
      <c r="H386" s="8"/>
    </row>
    <row r="387" spans="8:8" x14ac:dyDescent="0.25">
      <c r="H387" s="8"/>
    </row>
    <row r="388" spans="8:8" x14ac:dyDescent="0.25">
      <c r="H388" s="8"/>
    </row>
    <row r="389" spans="8:8" x14ac:dyDescent="0.25">
      <c r="H389" s="8"/>
    </row>
    <row r="390" spans="8:8" x14ac:dyDescent="0.25">
      <c r="H390" s="8"/>
    </row>
    <row r="391" spans="8:8" x14ac:dyDescent="0.25">
      <c r="H391" s="8"/>
    </row>
    <row r="392" spans="8:8" x14ac:dyDescent="0.25">
      <c r="H392" s="8"/>
    </row>
    <row r="393" spans="8:8" x14ac:dyDescent="0.25">
      <c r="H393" s="8"/>
    </row>
    <row r="394" spans="8:8" x14ac:dyDescent="0.25">
      <c r="H394" s="8"/>
    </row>
    <row r="395" spans="8:8" x14ac:dyDescent="0.25">
      <c r="H395" s="8"/>
    </row>
    <row r="396" spans="8:8" x14ac:dyDescent="0.25">
      <c r="H396" s="8"/>
    </row>
    <row r="397" spans="8:8" x14ac:dyDescent="0.25">
      <c r="H397" s="8"/>
    </row>
    <row r="398" spans="8:8" x14ac:dyDescent="0.25">
      <c r="H398" s="8"/>
    </row>
    <row r="399" spans="8:8" x14ac:dyDescent="0.25">
      <c r="H399" s="8"/>
    </row>
    <row r="400" spans="8:8" x14ac:dyDescent="0.25">
      <c r="H400" s="8"/>
    </row>
    <row r="401" spans="8:8" x14ac:dyDescent="0.25">
      <c r="H401" s="8"/>
    </row>
    <row r="402" spans="8:8" x14ac:dyDescent="0.25">
      <c r="H402" s="8"/>
    </row>
    <row r="403" spans="8:8" x14ac:dyDescent="0.25">
      <c r="H403" s="8"/>
    </row>
    <row r="404" spans="8:8" x14ac:dyDescent="0.25">
      <c r="H404" s="8"/>
    </row>
    <row r="405" spans="8:8" x14ac:dyDescent="0.25">
      <c r="H405" s="8"/>
    </row>
    <row r="406" spans="8:8" x14ac:dyDescent="0.25">
      <c r="H406" s="8"/>
    </row>
    <row r="407" spans="8:8" x14ac:dyDescent="0.25">
      <c r="H407" s="8"/>
    </row>
    <row r="408" spans="8:8" x14ac:dyDescent="0.25">
      <c r="H408" s="8"/>
    </row>
    <row r="409" spans="8:8" x14ac:dyDescent="0.25">
      <c r="H409" s="8"/>
    </row>
    <row r="410" spans="8:8" x14ac:dyDescent="0.25">
      <c r="H410" s="8"/>
    </row>
    <row r="411" spans="8:8" x14ac:dyDescent="0.25">
      <c r="H411" s="8"/>
    </row>
    <row r="412" spans="8:8" x14ac:dyDescent="0.25">
      <c r="H412" s="8"/>
    </row>
    <row r="413" spans="8:8" x14ac:dyDescent="0.25">
      <c r="H413" s="8"/>
    </row>
    <row r="414" spans="8:8" x14ac:dyDescent="0.25">
      <c r="H414" s="8"/>
    </row>
    <row r="415" spans="8:8" x14ac:dyDescent="0.25">
      <c r="H415" s="8"/>
    </row>
    <row r="416" spans="8:8" x14ac:dyDescent="0.25">
      <c r="H416" s="8"/>
    </row>
    <row r="417" spans="8:8" x14ac:dyDescent="0.25">
      <c r="H417" s="8"/>
    </row>
    <row r="418" spans="8:8" x14ac:dyDescent="0.25">
      <c r="H418" s="8"/>
    </row>
    <row r="419" spans="8:8" x14ac:dyDescent="0.25">
      <c r="H419" s="8"/>
    </row>
    <row r="420" spans="8:8" x14ac:dyDescent="0.25">
      <c r="H420" s="8"/>
    </row>
    <row r="421" spans="8:8" x14ac:dyDescent="0.25">
      <c r="H421" s="8"/>
    </row>
    <row r="422" spans="8:8" x14ac:dyDescent="0.25">
      <c r="H422" s="8"/>
    </row>
    <row r="423" spans="8:8" x14ac:dyDescent="0.25">
      <c r="H423" s="8"/>
    </row>
    <row r="424" spans="8:8" x14ac:dyDescent="0.25">
      <c r="H424" s="8"/>
    </row>
    <row r="425" spans="8:8" x14ac:dyDescent="0.25">
      <c r="H425" s="8"/>
    </row>
    <row r="426" spans="8:8" x14ac:dyDescent="0.25">
      <c r="H426" s="8"/>
    </row>
    <row r="427" spans="8:8" x14ac:dyDescent="0.25">
      <c r="H427" s="8"/>
    </row>
    <row r="428" spans="8:8" x14ac:dyDescent="0.25">
      <c r="H428" s="8"/>
    </row>
    <row r="429" spans="8:8" x14ac:dyDescent="0.25">
      <c r="H429" s="8"/>
    </row>
    <row r="430" spans="8:8" x14ac:dyDescent="0.25">
      <c r="H430" s="8"/>
    </row>
    <row r="431" spans="8:8" x14ac:dyDescent="0.25">
      <c r="H431" s="8"/>
    </row>
    <row r="432" spans="8:8" x14ac:dyDescent="0.25">
      <c r="H432" s="8"/>
    </row>
    <row r="433" spans="8:8" x14ac:dyDescent="0.25">
      <c r="H433" s="8"/>
    </row>
    <row r="434" spans="8:8" x14ac:dyDescent="0.25">
      <c r="H434" s="8"/>
    </row>
    <row r="435" spans="8:8" x14ac:dyDescent="0.25">
      <c r="H435" s="8"/>
    </row>
    <row r="436" spans="8:8" x14ac:dyDescent="0.25">
      <c r="H436" s="8"/>
    </row>
    <row r="437" spans="8:8" x14ac:dyDescent="0.25">
      <c r="H437" s="8"/>
    </row>
    <row r="438" spans="8:8" x14ac:dyDescent="0.25">
      <c r="H438" s="8"/>
    </row>
    <row r="439" spans="8:8" x14ac:dyDescent="0.25">
      <c r="H439" s="8"/>
    </row>
    <row r="440" spans="8:8" x14ac:dyDescent="0.25">
      <c r="H440" s="8"/>
    </row>
    <row r="441" spans="8:8" x14ac:dyDescent="0.25">
      <c r="H441" s="8"/>
    </row>
    <row r="442" spans="8:8" x14ac:dyDescent="0.25">
      <c r="H442" s="8"/>
    </row>
    <row r="443" spans="8:8" x14ac:dyDescent="0.25">
      <c r="H443" s="8"/>
    </row>
    <row r="444" spans="8:8" x14ac:dyDescent="0.25">
      <c r="H444" s="8"/>
    </row>
    <row r="445" spans="8:8" x14ac:dyDescent="0.25">
      <c r="H445" s="8"/>
    </row>
    <row r="446" spans="8:8" x14ac:dyDescent="0.25">
      <c r="H446" s="8"/>
    </row>
    <row r="447" spans="8:8" x14ac:dyDescent="0.25">
      <c r="H447" s="8"/>
    </row>
    <row r="448" spans="8:8" x14ac:dyDescent="0.25">
      <c r="H448" s="8"/>
    </row>
    <row r="449" spans="8:8" x14ac:dyDescent="0.25">
      <c r="H449" s="8"/>
    </row>
    <row r="450" spans="8:8" x14ac:dyDescent="0.25">
      <c r="H450" s="8"/>
    </row>
    <row r="451" spans="8:8" x14ac:dyDescent="0.25">
      <c r="H451" s="8"/>
    </row>
    <row r="452" spans="8:8" x14ac:dyDescent="0.25">
      <c r="H452" s="8"/>
    </row>
    <row r="453" spans="8:8" x14ac:dyDescent="0.25">
      <c r="H453" s="8"/>
    </row>
    <row r="454" spans="8:8" x14ac:dyDescent="0.25">
      <c r="H454" s="8"/>
    </row>
    <row r="455" spans="8:8" x14ac:dyDescent="0.25">
      <c r="H455" s="8"/>
    </row>
    <row r="456" spans="8:8" x14ac:dyDescent="0.25">
      <c r="H456" s="8"/>
    </row>
    <row r="457" spans="8:8" x14ac:dyDescent="0.25">
      <c r="H457" s="8"/>
    </row>
    <row r="458" spans="8:8" x14ac:dyDescent="0.25">
      <c r="H458" s="8"/>
    </row>
    <row r="459" spans="8:8" x14ac:dyDescent="0.25">
      <c r="H459" s="8"/>
    </row>
    <row r="460" spans="8:8" x14ac:dyDescent="0.25">
      <c r="H460" s="8"/>
    </row>
    <row r="461" spans="8:8" x14ac:dyDescent="0.25">
      <c r="H461" s="8"/>
    </row>
    <row r="462" spans="8:8" x14ac:dyDescent="0.25">
      <c r="H462" s="8"/>
    </row>
    <row r="463" spans="8:8" x14ac:dyDescent="0.25">
      <c r="H463" s="8"/>
    </row>
    <row r="464" spans="8:8" x14ac:dyDescent="0.25">
      <c r="H464" s="8"/>
    </row>
    <row r="465" spans="8:8" x14ac:dyDescent="0.25">
      <c r="H465" s="8"/>
    </row>
    <row r="466" spans="8:8" x14ac:dyDescent="0.25">
      <c r="H466" s="8"/>
    </row>
    <row r="467" spans="8:8" x14ac:dyDescent="0.25">
      <c r="H467" s="8"/>
    </row>
    <row r="468" spans="8:8" x14ac:dyDescent="0.25">
      <c r="H468" s="8"/>
    </row>
    <row r="469" spans="8:8" x14ac:dyDescent="0.25">
      <c r="H469" s="8"/>
    </row>
    <row r="470" spans="8:8" x14ac:dyDescent="0.25">
      <c r="H470" s="8"/>
    </row>
    <row r="471" spans="8:8" x14ac:dyDescent="0.25">
      <c r="H471" s="8"/>
    </row>
    <row r="472" spans="8:8" x14ac:dyDescent="0.25">
      <c r="H472" s="8"/>
    </row>
    <row r="473" spans="8:8" x14ac:dyDescent="0.25">
      <c r="H473" s="8"/>
    </row>
    <row r="474" spans="8:8" x14ac:dyDescent="0.25">
      <c r="H474" s="8"/>
    </row>
    <row r="475" spans="8:8" x14ac:dyDescent="0.25">
      <c r="H475" s="8"/>
    </row>
    <row r="476" spans="8:8" x14ac:dyDescent="0.25">
      <c r="H476" s="8"/>
    </row>
    <row r="477" spans="8:8" x14ac:dyDescent="0.25">
      <c r="H477" s="8"/>
    </row>
    <row r="478" spans="8:8" x14ac:dyDescent="0.25">
      <c r="H478" s="8"/>
    </row>
    <row r="479" spans="8:8" x14ac:dyDescent="0.25">
      <c r="H479" s="8"/>
    </row>
    <row r="480" spans="8:8" x14ac:dyDescent="0.25">
      <c r="H480" s="8"/>
    </row>
    <row r="481" spans="8:8" x14ac:dyDescent="0.25">
      <c r="H481" s="8"/>
    </row>
    <row r="482" spans="8:8" x14ac:dyDescent="0.25">
      <c r="H482" s="8"/>
    </row>
    <row r="483" spans="8:8" x14ac:dyDescent="0.25">
      <c r="H483" s="8"/>
    </row>
    <row r="484" spans="8:8" x14ac:dyDescent="0.25">
      <c r="H484" s="8"/>
    </row>
    <row r="485" spans="8:8" x14ac:dyDescent="0.25">
      <c r="H485" s="8"/>
    </row>
    <row r="486" spans="8:8" x14ac:dyDescent="0.25">
      <c r="H486" s="8"/>
    </row>
    <row r="487" spans="8:8" x14ac:dyDescent="0.25">
      <c r="H487" s="8"/>
    </row>
    <row r="488" spans="8:8" x14ac:dyDescent="0.25">
      <c r="H488" s="8"/>
    </row>
    <row r="489" spans="8:8" x14ac:dyDescent="0.25">
      <c r="H489" s="8"/>
    </row>
    <row r="490" spans="8:8" x14ac:dyDescent="0.25">
      <c r="H490" s="8"/>
    </row>
    <row r="491" spans="8:8" x14ac:dyDescent="0.25">
      <c r="H491" s="8"/>
    </row>
    <row r="492" spans="8:8" x14ac:dyDescent="0.25">
      <c r="H492" s="8"/>
    </row>
    <row r="493" spans="8:8" x14ac:dyDescent="0.25">
      <c r="H493" s="8"/>
    </row>
    <row r="494" spans="8:8" x14ac:dyDescent="0.25">
      <c r="H494" s="8"/>
    </row>
    <row r="495" spans="8:8" x14ac:dyDescent="0.25">
      <c r="H495" s="8"/>
    </row>
    <row r="496" spans="8:8" x14ac:dyDescent="0.25">
      <c r="H496" s="8"/>
    </row>
    <row r="497" spans="8:8" x14ac:dyDescent="0.25">
      <c r="H497" s="8"/>
    </row>
    <row r="498" spans="8:8" x14ac:dyDescent="0.25">
      <c r="H498" s="8"/>
    </row>
    <row r="499" spans="8:8" x14ac:dyDescent="0.25">
      <c r="H499" s="8"/>
    </row>
    <row r="500" spans="8:8" x14ac:dyDescent="0.25">
      <c r="H500" s="8"/>
    </row>
    <row r="501" spans="8:8" x14ac:dyDescent="0.25">
      <c r="H501" s="8"/>
    </row>
    <row r="502" spans="8:8" x14ac:dyDescent="0.25">
      <c r="H502" s="8"/>
    </row>
    <row r="503" spans="8:8" x14ac:dyDescent="0.25">
      <c r="H503" s="8"/>
    </row>
    <row r="504" spans="8:8" x14ac:dyDescent="0.25">
      <c r="H504" s="8"/>
    </row>
    <row r="505" spans="8:8" x14ac:dyDescent="0.25">
      <c r="H505" s="8"/>
    </row>
    <row r="506" spans="8:8" x14ac:dyDescent="0.25">
      <c r="H506" s="8"/>
    </row>
    <row r="507" spans="8:8" x14ac:dyDescent="0.25">
      <c r="H507" s="8"/>
    </row>
    <row r="508" spans="8:8" x14ac:dyDescent="0.25">
      <c r="H508" s="8"/>
    </row>
    <row r="509" spans="8:8" x14ac:dyDescent="0.25">
      <c r="H509" s="8"/>
    </row>
    <row r="510" spans="8:8" x14ac:dyDescent="0.25">
      <c r="H510" s="8"/>
    </row>
    <row r="511" spans="8:8" x14ac:dyDescent="0.25">
      <c r="H511" s="8"/>
    </row>
    <row r="512" spans="8:8" x14ac:dyDescent="0.25">
      <c r="H512" s="8"/>
    </row>
    <row r="513" spans="8:8" x14ac:dyDescent="0.25">
      <c r="H513" s="8"/>
    </row>
    <row r="514" spans="8:8" x14ac:dyDescent="0.25">
      <c r="H514" s="8"/>
    </row>
    <row r="515" spans="8:8" x14ac:dyDescent="0.25">
      <c r="H515" s="8"/>
    </row>
    <row r="516" spans="8:8" x14ac:dyDescent="0.25">
      <c r="H516" s="8"/>
    </row>
    <row r="517" spans="8:8" x14ac:dyDescent="0.25">
      <c r="H517" s="8"/>
    </row>
    <row r="518" spans="8:8" x14ac:dyDescent="0.25">
      <c r="H518" s="8"/>
    </row>
    <row r="519" spans="8:8" x14ac:dyDescent="0.25">
      <c r="H519" s="8"/>
    </row>
    <row r="520" spans="8:8" x14ac:dyDescent="0.25">
      <c r="H520" s="8"/>
    </row>
    <row r="521" spans="8:8" x14ac:dyDescent="0.25">
      <c r="H521" s="8"/>
    </row>
    <row r="522" spans="8:8" x14ac:dyDescent="0.25">
      <c r="H522" s="8"/>
    </row>
    <row r="523" spans="8:8" x14ac:dyDescent="0.25">
      <c r="H523" s="8"/>
    </row>
    <row r="524" spans="8:8" x14ac:dyDescent="0.25">
      <c r="H524" s="8"/>
    </row>
    <row r="525" spans="8:8" x14ac:dyDescent="0.25">
      <c r="H525" s="8"/>
    </row>
    <row r="526" spans="8:8" x14ac:dyDescent="0.25">
      <c r="H526" s="8"/>
    </row>
    <row r="527" spans="8:8" x14ac:dyDescent="0.25">
      <c r="H527" s="8"/>
    </row>
    <row r="528" spans="8:8" x14ac:dyDescent="0.25">
      <c r="H528" s="8"/>
    </row>
    <row r="529" spans="8:8" x14ac:dyDescent="0.25">
      <c r="H529" s="8"/>
    </row>
    <row r="530" spans="8:8" x14ac:dyDescent="0.25">
      <c r="H530" s="8"/>
    </row>
    <row r="531" spans="8:8" x14ac:dyDescent="0.25">
      <c r="H531" s="8"/>
    </row>
    <row r="532" spans="8:8" x14ac:dyDescent="0.25">
      <c r="H532" s="8"/>
    </row>
    <row r="533" spans="8:8" x14ac:dyDescent="0.25">
      <c r="H533" s="8"/>
    </row>
    <row r="534" spans="8:8" x14ac:dyDescent="0.25">
      <c r="H534" s="8"/>
    </row>
    <row r="535" spans="8:8" x14ac:dyDescent="0.25">
      <c r="H535" s="8"/>
    </row>
    <row r="536" spans="8:8" x14ac:dyDescent="0.25">
      <c r="H536" s="8"/>
    </row>
    <row r="537" spans="8:8" x14ac:dyDescent="0.25">
      <c r="H537" s="8"/>
    </row>
    <row r="538" spans="8:8" x14ac:dyDescent="0.25">
      <c r="H538" s="8"/>
    </row>
    <row r="539" spans="8:8" x14ac:dyDescent="0.25">
      <c r="H539" s="8"/>
    </row>
    <row r="540" spans="8:8" x14ac:dyDescent="0.25">
      <c r="H540" s="8"/>
    </row>
    <row r="541" spans="8:8" x14ac:dyDescent="0.25">
      <c r="H541" s="8"/>
    </row>
    <row r="542" spans="8:8" x14ac:dyDescent="0.25">
      <c r="H542" s="8"/>
    </row>
    <row r="543" spans="8:8" x14ac:dyDescent="0.25">
      <c r="H543" s="8"/>
    </row>
    <row r="544" spans="8:8" x14ac:dyDescent="0.25">
      <c r="H544" s="8"/>
    </row>
    <row r="545" spans="8:8" x14ac:dyDescent="0.25">
      <c r="H545" s="8"/>
    </row>
    <row r="546" spans="8:8" x14ac:dyDescent="0.25">
      <c r="H546" s="8"/>
    </row>
    <row r="547" spans="8:8" x14ac:dyDescent="0.25">
      <c r="H547" s="8"/>
    </row>
    <row r="548" spans="8:8" x14ac:dyDescent="0.25">
      <c r="H548" s="8"/>
    </row>
    <row r="549" spans="8:8" x14ac:dyDescent="0.25">
      <c r="H549" s="8"/>
    </row>
    <row r="550" spans="8:8" x14ac:dyDescent="0.25">
      <c r="H550" s="8"/>
    </row>
    <row r="551" spans="8:8" x14ac:dyDescent="0.25">
      <c r="H551" s="8"/>
    </row>
    <row r="552" spans="8:8" x14ac:dyDescent="0.25">
      <c r="H552" s="8"/>
    </row>
    <row r="553" spans="8:8" x14ac:dyDescent="0.25">
      <c r="H553" s="8"/>
    </row>
    <row r="554" spans="8:8" x14ac:dyDescent="0.25">
      <c r="H554" s="8"/>
    </row>
    <row r="555" spans="8:8" x14ac:dyDescent="0.25">
      <c r="H555" s="8"/>
    </row>
    <row r="556" spans="8:8" x14ac:dyDescent="0.25">
      <c r="H556" s="8"/>
    </row>
    <row r="557" spans="8:8" x14ac:dyDescent="0.25">
      <c r="H557" s="8"/>
    </row>
    <row r="558" spans="8:8" x14ac:dyDescent="0.25">
      <c r="H558" s="8"/>
    </row>
    <row r="559" spans="8:8" x14ac:dyDescent="0.25">
      <c r="H559" s="8"/>
    </row>
    <row r="560" spans="8:8" x14ac:dyDescent="0.25">
      <c r="H560" s="8"/>
    </row>
    <row r="561" spans="8:8" x14ac:dyDescent="0.25">
      <c r="H561" s="8"/>
    </row>
    <row r="562" spans="8:8" x14ac:dyDescent="0.25">
      <c r="H562" s="8"/>
    </row>
    <row r="563" spans="8:8" x14ac:dyDescent="0.25">
      <c r="H563" s="8"/>
    </row>
    <row r="564" spans="8:8" x14ac:dyDescent="0.25">
      <c r="H564" s="8"/>
    </row>
    <row r="565" spans="8:8" x14ac:dyDescent="0.25">
      <c r="H565" s="8"/>
    </row>
    <row r="566" spans="8:8" x14ac:dyDescent="0.25">
      <c r="H566" s="8"/>
    </row>
    <row r="567" spans="8:8" x14ac:dyDescent="0.25">
      <c r="H567" s="8"/>
    </row>
    <row r="568" spans="8:8" x14ac:dyDescent="0.25">
      <c r="H568" s="8"/>
    </row>
    <row r="569" spans="8:8" x14ac:dyDescent="0.25">
      <c r="H569" s="8"/>
    </row>
    <row r="570" spans="8:8" x14ac:dyDescent="0.25">
      <c r="H570" s="8"/>
    </row>
    <row r="571" spans="8:8" x14ac:dyDescent="0.25">
      <c r="H571" s="8"/>
    </row>
    <row r="572" spans="8:8" x14ac:dyDescent="0.25">
      <c r="H572" s="8"/>
    </row>
    <row r="573" spans="8:8" x14ac:dyDescent="0.25">
      <c r="H573" s="8"/>
    </row>
    <row r="574" spans="8:8" x14ac:dyDescent="0.25">
      <c r="H574" s="8"/>
    </row>
    <row r="575" spans="8:8" x14ac:dyDescent="0.25">
      <c r="H575" s="8"/>
    </row>
    <row r="576" spans="8:8" x14ac:dyDescent="0.25">
      <c r="H576" s="8"/>
    </row>
    <row r="577" spans="8:8" x14ac:dyDescent="0.25">
      <c r="H577" s="8"/>
    </row>
    <row r="578" spans="8:8" x14ac:dyDescent="0.25">
      <c r="H578" s="8"/>
    </row>
    <row r="579" spans="8:8" x14ac:dyDescent="0.25">
      <c r="H579" s="8"/>
    </row>
    <row r="580" spans="8:8" x14ac:dyDescent="0.25">
      <c r="H580" s="8"/>
    </row>
    <row r="581" spans="8:8" x14ac:dyDescent="0.25">
      <c r="H581" s="8"/>
    </row>
    <row r="582" spans="8:8" x14ac:dyDescent="0.25">
      <c r="H582" s="8"/>
    </row>
    <row r="583" spans="8:8" x14ac:dyDescent="0.25">
      <c r="H583" s="8"/>
    </row>
    <row r="584" spans="8:8" x14ac:dyDescent="0.25">
      <c r="H584" s="8"/>
    </row>
    <row r="585" spans="8:8" x14ac:dyDescent="0.25">
      <c r="H585" s="8"/>
    </row>
    <row r="586" spans="8:8" x14ac:dyDescent="0.25">
      <c r="H586" s="8"/>
    </row>
    <row r="587" spans="8:8" x14ac:dyDescent="0.25">
      <c r="H587" s="8"/>
    </row>
    <row r="588" spans="8:8" x14ac:dyDescent="0.25">
      <c r="H588" s="8"/>
    </row>
    <row r="589" spans="8:8" x14ac:dyDescent="0.25">
      <c r="H589" s="8"/>
    </row>
    <row r="590" spans="8:8" x14ac:dyDescent="0.25">
      <c r="H590" s="8"/>
    </row>
    <row r="591" spans="8:8" x14ac:dyDescent="0.25">
      <c r="H591" s="8"/>
    </row>
    <row r="592" spans="8:8" x14ac:dyDescent="0.25">
      <c r="H592" s="8"/>
    </row>
    <row r="593" spans="8:8" x14ac:dyDescent="0.25">
      <c r="H593" s="8"/>
    </row>
    <row r="594" spans="8:8" x14ac:dyDescent="0.25">
      <c r="H594" s="8"/>
    </row>
    <row r="595" spans="8:8" x14ac:dyDescent="0.25">
      <c r="H595" s="8"/>
    </row>
    <row r="596" spans="8:8" x14ac:dyDescent="0.25">
      <c r="H596" s="8"/>
    </row>
    <row r="597" spans="8:8" x14ac:dyDescent="0.25">
      <c r="H597" s="8"/>
    </row>
    <row r="598" spans="8:8" x14ac:dyDescent="0.25">
      <c r="H598" s="8"/>
    </row>
    <row r="599" spans="8:8" x14ac:dyDescent="0.25">
      <c r="H599" s="8"/>
    </row>
    <row r="600" spans="8:8" x14ac:dyDescent="0.25">
      <c r="H600" s="8"/>
    </row>
    <row r="601" spans="8:8" x14ac:dyDescent="0.25">
      <c r="H601" s="8"/>
    </row>
    <row r="602" spans="8:8" x14ac:dyDescent="0.25">
      <c r="H602" s="8"/>
    </row>
    <row r="603" spans="8:8" x14ac:dyDescent="0.25">
      <c r="H603" s="8"/>
    </row>
    <row r="604" spans="8:8" x14ac:dyDescent="0.25">
      <c r="H604" s="8"/>
    </row>
    <row r="605" spans="8:8" x14ac:dyDescent="0.25">
      <c r="H605" s="8"/>
    </row>
    <row r="606" spans="8:8" x14ac:dyDescent="0.25">
      <c r="H606" s="8"/>
    </row>
    <row r="607" spans="8:8" x14ac:dyDescent="0.25">
      <c r="H607" s="8"/>
    </row>
    <row r="608" spans="8:8" x14ac:dyDescent="0.25">
      <c r="H608" s="8"/>
    </row>
    <row r="609" spans="8:8" x14ac:dyDescent="0.25">
      <c r="H609" s="8"/>
    </row>
    <row r="610" spans="8:8" x14ac:dyDescent="0.25">
      <c r="H610" s="8"/>
    </row>
    <row r="611" spans="8:8" x14ac:dyDescent="0.25">
      <c r="H611" s="8"/>
    </row>
    <row r="612" spans="8:8" x14ac:dyDescent="0.25">
      <c r="H612" s="8"/>
    </row>
    <row r="613" spans="8:8" x14ac:dyDescent="0.25">
      <c r="H613" s="8"/>
    </row>
    <row r="614" spans="8:8" x14ac:dyDescent="0.25">
      <c r="H614" s="8"/>
    </row>
    <row r="615" spans="8:8" x14ac:dyDescent="0.25">
      <c r="H615" s="8"/>
    </row>
    <row r="616" spans="8:8" x14ac:dyDescent="0.25">
      <c r="H616" s="8"/>
    </row>
    <row r="617" spans="8:8" x14ac:dyDescent="0.25">
      <c r="H617" s="8"/>
    </row>
    <row r="618" spans="8:8" x14ac:dyDescent="0.25">
      <c r="H618" s="8"/>
    </row>
    <row r="619" spans="8:8" x14ac:dyDescent="0.25">
      <c r="H619" s="8"/>
    </row>
    <row r="620" spans="8:8" x14ac:dyDescent="0.25">
      <c r="H620" s="8"/>
    </row>
    <row r="621" spans="8:8" x14ac:dyDescent="0.25">
      <c r="H621" s="8"/>
    </row>
    <row r="622" spans="8:8" x14ac:dyDescent="0.25">
      <c r="H622" s="8"/>
    </row>
    <row r="623" spans="8:8" x14ac:dyDescent="0.25">
      <c r="H623" s="8"/>
    </row>
    <row r="624" spans="8:8" x14ac:dyDescent="0.25">
      <c r="H624" s="8"/>
    </row>
    <row r="625" spans="8:8" x14ac:dyDescent="0.25">
      <c r="H625" s="8"/>
    </row>
    <row r="626" spans="8:8" x14ac:dyDescent="0.25">
      <c r="H626" s="8"/>
    </row>
    <row r="627" spans="8:8" x14ac:dyDescent="0.25">
      <c r="H627" s="8"/>
    </row>
    <row r="628" spans="8:8" x14ac:dyDescent="0.25">
      <c r="H628" s="8"/>
    </row>
    <row r="629" spans="8:8" x14ac:dyDescent="0.25">
      <c r="H629" s="8"/>
    </row>
    <row r="630" spans="8:8" x14ac:dyDescent="0.25">
      <c r="H630" s="8"/>
    </row>
    <row r="631" spans="8:8" x14ac:dyDescent="0.25">
      <c r="H631" s="8"/>
    </row>
    <row r="632" spans="8:8" x14ac:dyDescent="0.25">
      <c r="H632" s="8"/>
    </row>
    <row r="633" spans="8:8" x14ac:dyDescent="0.25">
      <c r="H633" s="8"/>
    </row>
    <row r="634" spans="8:8" x14ac:dyDescent="0.25">
      <c r="H634" s="8"/>
    </row>
    <row r="635" spans="8:8" x14ac:dyDescent="0.25">
      <c r="H635" s="8"/>
    </row>
    <row r="636" spans="8:8" x14ac:dyDescent="0.25">
      <c r="H636" s="8"/>
    </row>
    <row r="637" spans="8:8" x14ac:dyDescent="0.25">
      <c r="H637" s="8"/>
    </row>
    <row r="638" spans="8:8" x14ac:dyDescent="0.25">
      <c r="H638" s="8"/>
    </row>
    <row r="639" spans="8:8" x14ac:dyDescent="0.25">
      <c r="H639" s="8"/>
    </row>
    <row r="640" spans="8:8" x14ac:dyDescent="0.25">
      <c r="H640" s="8"/>
    </row>
    <row r="641" spans="8:8" x14ac:dyDescent="0.25">
      <c r="H641" s="8"/>
    </row>
    <row r="642" spans="8:8" x14ac:dyDescent="0.25">
      <c r="H642" s="8"/>
    </row>
    <row r="643" spans="8:8" x14ac:dyDescent="0.25">
      <c r="H643" s="8"/>
    </row>
    <row r="644" spans="8:8" x14ac:dyDescent="0.25">
      <c r="H644" s="8"/>
    </row>
    <row r="645" spans="8:8" x14ac:dyDescent="0.25">
      <c r="H645" s="8"/>
    </row>
    <row r="646" spans="8:8" x14ac:dyDescent="0.25">
      <c r="H646" s="8"/>
    </row>
    <row r="647" spans="8:8" x14ac:dyDescent="0.25">
      <c r="H647" s="8"/>
    </row>
    <row r="648" spans="8:8" x14ac:dyDescent="0.25">
      <c r="H648" s="8"/>
    </row>
    <row r="649" spans="8:8" x14ac:dyDescent="0.25">
      <c r="H649" s="8"/>
    </row>
    <row r="650" spans="8:8" x14ac:dyDescent="0.25">
      <c r="H650" s="8"/>
    </row>
    <row r="651" spans="8:8" x14ac:dyDescent="0.25">
      <c r="H651" s="8"/>
    </row>
    <row r="652" spans="8:8" x14ac:dyDescent="0.25">
      <c r="H652" s="8"/>
    </row>
    <row r="653" spans="8:8" x14ac:dyDescent="0.25">
      <c r="H653" s="8"/>
    </row>
    <row r="654" spans="8:8" x14ac:dyDescent="0.25">
      <c r="H654" s="8"/>
    </row>
    <row r="655" spans="8:8" x14ac:dyDescent="0.25">
      <c r="H655" s="8"/>
    </row>
    <row r="656" spans="8:8" x14ac:dyDescent="0.25">
      <c r="H656" s="8"/>
    </row>
    <row r="657" spans="8:8" x14ac:dyDescent="0.25">
      <c r="H657" s="8"/>
    </row>
    <row r="658" spans="8:8" x14ac:dyDescent="0.25">
      <c r="H658" s="8"/>
    </row>
    <row r="659" spans="8:8" x14ac:dyDescent="0.25">
      <c r="H659" s="8"/>
    </row>
    <row r="660" spans="8:8" x14ac:dyDescent="0.25">
      <c r="H660" s="8"/>
    </row>
    <row r="661" spans="8:8" x14ac:dyDescent="0.25">
      <c r="H661" s="8"/>
    </row>
    <row r="662" spans="8:8" x14ac:dyDescent="0.25">
      <c r="H662" s="8"/>
    </row>
    <row r="663" spans="8:8" x14ac:dyDescent="0.25">
      <c r="H663" s="8"/>
    </row>
    <row r="664" spans="8:8" x14ac:dyDescent="0.25">
      <c r="H664" s="8"/>
    </row>
    <row r="665" spans="8:8" x14ac:dyDescent="0.25">
      <c r="H665" s="8"/>
    </row>
    <row r="666" spans="8:8" x14ac:dyDescent="0.25">
      <c r="H666" s="8"/>
    </row>
    <row r="667" spans="8:8" x14ac:dyDescent="0.25">
      <c r="H667" s="8"/>
    </row>
    <row r="668" spans="8:8" x14ac:dyDescent="0.25">
      <c r="H668" s="8"/>
    </row>
    <row r="669" spans="8:8" x14ac:dyDescent="0.25">
      <c r="H669" s="8"/>
    </row>
    <row r="670" spans="8:8" x14ac:dyDescent="0.25">
      <c r="H670" s="8"/>
    </row>
    <row r="671" spans="8:8" x14ac:dyDescent="0.25">
      <c r="H671" s="8"/>
    </row>
    <row r="672" spans="8:8" x14ac:dyDescent="0.25">
      <c r="H672" s="8"/>
    </row>
    <row r="673" spans="8:8" x14ac:dyDescent="0.25">
      <c r="H673" s="8"/>
    </row>
    <row r="674" spans="8:8" x14ac:dyDescent="0.25">
      <c r="H674" s="8"/>
    </row>
    <row r="675" spans="8:8" x14ac:dyDescent="0.25">
      <c r="H675" s="8"/>
    </row>
    <row r="676" spans="8:8" x14ac:dyDescent="0.25">
      <c r="H676" s="8"/>
    </row>
    <row r="677" spans="8:8" x14ac:dyDescent="0.25">
      <c r="H677" s="8"/>
    </row>
    <row r="678" spans="8:8" x14ac:dyDescent="0.25">
      <c r="H678" s="8"/>
    </row>
    <row r="679" spans="8:8" x14ac:dyDescent="0.25">
      <c r="H679" s="8"/>
    </row>
    <row r="680" spans="8:8" x14ac:dyDescent="0.25">
      <c r="H680" s="8"/>
    </row>
    <row r="681" spans="8:8" x14ac:dyDescent="0.25">
      <c r="H681" s="8"/>
    </row>
    <row r="682" spans="8:8" x14ac:dyDescent="0.25">
      <c r="H682" s="8"/>
    </row>
    <row r="683" spans="8:8" x14ac:dyDescent="0.25">
      <c r="H683" s="8"/>
    </row>
    <row r="684" spans="8:8" x14ac:dyDescent="0.25">
      <c r="H684" s="8"/>
    </row>
    <row r="685" spans="8:8" x14ac:dyDescent="0.25">
      <c r="H685" s="8"/>
    </row>
    <row r="686" spans="8:8" x14ac:dyDescent="0.25">
      <c r="H686" s="8"/>
    </row>
    <row r="687" spans="8:8" x14ac:dyDescent="0.25">
      <c r="H687" s="8"/>
    </row>
    <row r="688" spans="8:8" x14ac:dyDescent="0.25">
      <c r="H688" s="8"/>
    </row>
    <row r="689" spans="8:8" x14ac:dyDescent="0.25">
      <c r="H689" s="8"/>
    </row>
    <row r="690" spans="8:8" x14ac:dyDescent="0.25">
      <c r="H690" s="8"/>
    </row>
    <row r="691" spans="8:8" x14ac:dyDescent="0.25">
      <c r="H691" s="8"/>
    </row>
    <row r="692" spans="8:8" x14ac:dyDescent="0.25">
      <c r="H692" s="8"/>
    </row>
    <row r="693" spans="8:8" x14ac:dyDescent="0.25">
      <c r="H693" s="8"/>
    </row>
    <row r="694" spans="8:8" x14ac:dyDescent="0.25">
      <c r="H694" s="8"/>
    </row>
    <row r="695" spans="8:8" x14ac:dyDescent="0.25">
      <c r="H695" s="8"/>
    </row>
    <row r="696" spans="8:8" x14ac:dyDescent="0.25">
      <c r="H696" s="8"/>
    </row>
    <row r="697" spans="8:8" x14ac:dyDescent="0.25">
      <c r="H697" s="8"/>
    </row>
    <row r="698" spans="8:8" x14ac:dyDescent="0.25">
      <c r="H698" s="8"/>
    </row>
    <row r="699" spans="8:8" x14ac:dyDescent="0.25">
      <c r="H699" s="8"/>
    </row>
    <row r="700" spans="8:8" x14ac:dyDescent="0.25">
      <c r="H700" s="8"/>
    </row>
    <row r="701" spans="8:8" x14ac:dyDescent="0.25">
      <c r="H701" s="8"/>
    </row>
    <row r="702" spans="8:8" x14ac:dyDescent="0.25">
      <c r="H702" s="8"/>
    </row>
    <row r="703" spans="8:8" x14ac:dyDescent="0.25">
      <c r="H703" s="8"/>
    </row>
    <row r="704" spans="8:8" x14ac:dyDescent="0.25">
      <c r="H704" s="8"/>
    </row>
    <row r="705" spans="8:8" x14ac:dyDescent="0.25">
      <c r="H705" s="8"/>
    </row>
    <row r="706" spans="8:8" x14ac:dyDescent="0.25">
      <c r="H706" s="8"/>
    </row>
    <row r="707" spans="8:8" x14ac:dyDescent="0.25">
      <c r="H707" s="8"/>
    </row>
    <row r="708" spans="8:8" x14ac:dyDescent="0.25">
      <c r="H708" s="8"/>
    </row>
    <row r="709" spans="8:8" x14ac:dyDescent="0.25">
      <c r="H709" s="8"/>
    </row>
    <row r="710" spans="8:8" x14ac:dyDescent="0.25">
      <c r="H710" s="8"/>
    </row>
    <row r="711" spans="8:8" x14ac:dyDescent="0.25">
      <c r="H711" s="8"/>
    </row>
    <row r="712" spans="8:8" x14ac:dyDescent="0.25">
      <c r="H712" s="8"/>
    </row>
    <row r="713" spans="8:8" x14ac:dyDescent="0.25">
      <c r="H713" s="8"/>
    </row>
    <row r="714" spans="8:8" x14ac:dyDescent="0.25">
      <c r="H714" s="8"/>
    </row>
    <row r="715" spans="8:8" x14ac:dyDescent="0.25">
      <c r="H715" s="8"/>
    </row>
    <row r="716" spans="8:8" x14ac:dyDescent="0.25">
      <c r="H716" s="8"/>
    </row>
    <row r="717" spans="8:8" x14ac:dyDescent="0.25">
      <c r="H717" s="8"/>
    </row>
    <row r="718" spans="8:8" x14ac:dyDescent="0.25">
      <c r="H718" s="8"/>
    </row>
    <row r="719" spans="8:8" x14ac:dyDescent="0.25">
      <c r="H719" s="8"/>
    </row>
    <row r="720" spans="8:8" x14ac:dyDescent="0.25">
      <c r="H720" s="8"/>
    </row>
    <row r="721" spans="8:8" x14ac:dyDescent="0.25">
      <c r="H721" s="8"/>
    </row>
    <row r="722" spans="8:8" x14ac:dyDescent="0.25">
      <c r="H722" s="8"/>
    </row>
    <row r="723" spans="8:8" x14ac:dyDescent="0.25">
      <c r="H723" s="8"/>
    </row>
    <row r="724" spans="8:8" x14ac:dyDescent="0.25">
      <c r="H724" s="8"/>
    </row>
    <row r="725" spans="8:8" x14ac:dyDescent="0.25">
      <c r="H725" s="8"/>
    </row>
    <row r="726" spans="8:8" x14ac:dyDescent="0.25">
      <c r="H726" s="8"/>
    </row>
    <row r="727" spans="8:8" x14ac:dyDescent="0.25">
      <c r="H727" s="8"/>
    </row>
    <row r="728" spans="8:8" x14ac:dyDescent="0.25">
      <c r="H728" s="8"/>
    </row>
    <row r="729" spans="8:8" x14ac:dyDescent="0.25">
      <c r="H729" s="8"/>
    </row>
    <row r="730" spans="8:8" x14ac:dyDescent="0.25">
      <c r="H730" s="8"/>
    </row>
    <row r="731" spans="8:8" x14ac:dyDescent="0.25">
      <c r="H731" s="8"/>
    </row>
    <row r="732" spans="8:8" x14ac:dyDescent="0.25">
      <c r="H732" s="8"/>
    </row>
    <row r="733" spans="8:8" x14ac:dyDescent="0.25">
      <c r="H733" s="8"/>
    </row>
    <row r="734" spans="8:8" x14ac:dyDescent="0.25">
      <c r="H734" s="8"/>
    </row>
    <row r="735" spans="8:8" x14ac:dyDescent="0.25">
      <c r="H735" s="8"/>
    </row>
    <row r="736" spans="8:8" x14ac:dyDescent="0.25">
      <c r="H736" s="8"/>
    </row>
    <row r="737" spans="8:8" x14ac:dyDescent="0.25">
      <c r="H737" s="8"/>
    </row>
    <row r="738" spans="8:8" x14ac:dyDescent="0.25">
      <c r="H738" s="8"/>
    </row>
    <row r="739" spans="8:8" x14ac:dyDescent="0.25">
      <c r="H739" s="8"/>
    </row>
    <row r="740" spans="8:8" x14ac:dyDescent="0.25">
      <c r="H740" s="8"/>
    </row>
    <row r="741" spans="8:8" x14ac:dyDescent="0.25">
      <c r="H741" s="8"/>
    </row>
    <row r="742" spans="8:8" x14ac:dyDescent="0.25">
      <c r="H742" s="8"/>
    </row>
    <row r="743" spans="8:8" x14ac:dyDescent="0.25">
      <c r="H743" s="8"/>
    </row>
    <row r="744" spans="8:8" x14ac:dyDescent="0.25">
      <c r="H744" s="8"/>
    </row>
    <row r="745" spans="8:8" x14ac:dyDescent="0.25">
      <c r="H745" s="8"/>
    </row>
    <row r="746" spans="8:8" x14ac:dyDescent="0.25">
      <c r="H746" s="8"/>
    </row>
    <row r="747" spans="8:8" x14ac:dyDescent="0.25">
      <c r="H747" s="8"/>
    </row>
    <row r="748" spans="8:8" x14ac:dyDescent="0.25">
      <c r="H748" s="8"/>
    </row>
    <row r="749" spans="8:8" x14ac:dyDescent="0.25">
      <c r="H749" s="8"/>
    </row>
    <row r="750" spans="8:8" x14ac:dyDescent="0.25">
      <c r="H750" s="8"/>
    </row>
    <row r="751" spans="8:8" x14ac:dyDescent="0.25">
      <c r="H751" s="8"/>
    </row>
    <row r="752" spans="8:8" x14ac:dyDescent="0.25">
      <c r="H752" s="8"/>
    </row>
    <row r="753" spans="8:8" x14ac:dyDescent="0.25">
      <c r="H753" s="8"/>
    </row>
    <row r="754" spans="8:8" x14ac:dyDescent="0.25">
      <c r="H754" s="8"/>
    </row>
    <row r="755" spans="8:8" x14ac:dyDescent="0.25">
      <c r="H755" s="8"/>
    </row>
    <row r="756" spans="8:8" x14ac:dyDescent="0.25">
      <c r="H756" s="8"/>
    </row>
    <row r="757" spans="8:8" x14ac:dyDescent="0.25">
      <c r="H757" s="8"/>
    </row>
    <row r="758" spans="8:8" x14ac:dyDescent="0.25">
      <c r="H758" s="8"/>
    </row>
    <row r="759" spans="8:8" x14ac:dyDescent="0.25">
      <c r="H759" s="8"/>
    </row>
    <row r="760" spans="8:8" x14ac:dyDescent="0.25">
      <c r="H760" s="8"/>
    </row>
    <row r="761" spans="8:8" x14ac:dyDescent="0.25">
      <c r="H761" s="8"/>
    </row>
    <row r="762" spans="8:8" x14ac:dyDescent="0.25">
      <c r="H762" s="8"/>
    </row>
    <row r="763" spans="8:8" x14ac:dyDescent="0.25">
      <c r="H763" s="8"/>
    </row>
    <row r="764" spans="8:8" x14ac:dyDescent="0.25">
      <c r="H764" s="8"/>
    </row>
    <row r="765" spans="8:8" x14ac:dyDescent="0.25">
      <c r="H765" s="8"/>
    </row>
    <row r="766" spans="8:8" x14ac:dyDescent="0.25">
      <c r="H766" s="8"/>
    </row>
    <row r="767" spans="8:8" x14ac:dyDescent="0.25">
      <c r="H767" s="8"/>
    </row>
    <row r="768" spans="8:8" x14ac:dyDescent="0.25">
      <c r="H768" s="8"/>
    </row>
    <row r="769" spans="8:8" x14ac:dyDescent="0.25">
      <c r="H769" s="8"/>
    </row>
    <row r="770" spans="8:8" x14ac:dyDescent="0.25">
      <c r="H770" s="8"/>
    </row>
    <row r="771" spans="8:8" x14ac:dyDescent="0.25">
      <c r="H771" s="8"/>
    </row>
    <row r="772" spans="8:8" x14ac:dyDescent="0.25">
      <c r="H772" s="8"/>
    </row>
    <row r="773" spans="8:8" x14ac:dyDescent="0.25">
      <c r="H773" s="8"/>
    </row>
    <row r="774" spans="8:8" x14ac:dyDescent="0.25">
      <c r="H774" s="8"/>
    </row>
    <row r="775" spans="8:8" x14ac:dyDescent="0.25">
      <c r="H775" s="8"/>
    </row>
    <row r="776" spans="8:8" x14ac:dyDescent="0.25">
      <c r="H776" s="8"/>
    </row>
    <row r="777" spans="8:8" x14ac:dyDescent="0.25">
      <c r="H777" s="8"/>
    </row>
    <row r="778" spans="8:8" x14ac:dyDescent="0.25">
      <c r="H778" s="8"/>
    </row>
    <row r="779" spans="8:8" x14ac:dyDescent="0.25">
      <c r="H779" s="8"/>
    </row>
    <row r="780" spans="8:8" x14ac:dyDescent="0.25">
      <c r="H780" s="8"/>
    </row>
    <row r="781" spans="8:8" x14ac:dyDescent="0.25">
      <c r="H781" s="8"/>
    </row>
    <row r="782" spans="8:8" x14ac:dyDescent="0.25">
      <c r="H782" s="8"/>
    </row>
    <row r="783" spans="8:8" x14ac:dyDescent="0.25">
      <c r="H783" s="8"/>
    </row>
    <row r="784" spans="8:8" x14ac:dyDescent="0.25">
      <c r="H784" s="8"/>
    </row>
    <row r="785" spans="8:8" x14ac:dyDescent="0.25">
      <c r="H785" s="8"/>
    </row>
    <row r="786" spans="8:8" x14ac:dyDescent="0.25">
      <c r="H786" s="8"/>
    </row>
    <row r="787" spans="8:8" x14ac:dyDescent="0.25">
      <c r="H787" s="8"/>
    </row>
    <row r="788" spans="8:8" x14ac:dyDescent="0.25">
      <c r="H788" s="8"/>
    </row>
    <row r="789" spans="8:8" x14ac:dyDescent="0.25">
      <c r="H789" s="8"/>
    </row>
    <row r="790" spans="8:8" x14ac:dyDescent="0.25">
      <c r="H790" s="8"/>
    </row>
    <row r="791" spans="8:8" x14ac:dyDescent="0.25">
      <c r="H791" s="8"/>
    </row>
    <row r="792" spans="8:8" x14ac:dyDescent="0.25">
      <c r="H792" s="8"/>
    </row>
    <row r="793" spans="8:8" x14ac:dyDescent="0.25">
      <c r="H793" s="8"/>
    </row>
    <row r="794" spans="8:8" x14ac:dyDescent="0.25">
      <c r="H794" s="8"/>
    </row>
    <row r="795" spans="8:8" x14ac:dyDescent="0.25">
      <c r="H795" s="8"/>
    </row>
    <row r="796" spans="8:8" x14ac:dyDescent="0.25">
      <c r="H796" s="8"/>
    </row>
    <row r="797" spans="8:8" x14ac:dyDescent="0.25">
      <c r="H797" s="8"/>
    </row>
    <row r="798" spans="8:8" x14ac:dyDescent="0.25">
      <c r="H798" s="8"/>
    </row>
    <row r="799" spans="8:8" x14ac:dyDescent="0.25">
      <c r="H799" s="8"/>
    </row>
    <row r="800" spans="8:8" x14ac:dyDescent="0.25">
      <c r="H800" s="8"/>
    </row>
    <row r="801" spans="8:8" x14ac:dyDescent="0.25">
      <c r="H801" s="8"/>
    </row>
    <row r="802" spans="8:8" x14ac:dyDescent="0.25">
      <c r="H802" s="8"/>
    </row>
    <row r="803" spans="8:8" x14ac:dyDescent="0.25">
      <c r="H803" s="8"/>
    </row>
    <row r="804" spans="8:8" x14ac:dyDescent="0.25">
      <c r="H804" s="8"/>
    </row>
    <row r="805" spans="8:8" x14ac:dyDescent="0.25">
      <c r="H805" s="8"/>
    </row>
    <row r="806" spans="8:8" x14ac:dyDescent="0.25">
      <c r="H806" s="8"/>
    </row>
    <row r="807" spans="8:8" x14ac:dyDescent="0.25">
      <c r="H807" s="8"/>
    </row>
    <row r="808" spans="8:8" x14ac:dyDescent="0.25">
      <c r="H808" s="8"/>
    </row>
    <row r="809" spans="8:8" x14ac:dyDescent="0.25">
      <c r="H809" s="8"/>
    </row>
    <row r="810" spans="8:8" x14ac:dyDescent="0.25">
      <c r="H810" s="8"/>
    </row>
    <row r="811" spans="8:8" x14ac:dyDescent="0.25">
      <c r="H811" s="8"/>
    </row>
    <row r="812" spans="8:8" x14ac:dyDescent="0.25">
      <c r="H812" s="8"/>
    </row>
    <row r="813" spans="8:8" x14ac:dyDescent="0.25">
      <c r="H813" s="8"/>
    </row>
    <row r="814" spans="8:8" x14ac:dyDescent="0.25">
      <c r="H814" s="8"/>
    </row>
    <row r="815" spans="8:8" x14ac:dyDescent="0.25">
      <c r="H815" s="8"/>
    </row>
    <row r="816" spans="8:8" x14ac:dyDescent="0.25">
      <c r="H816" s="8"/>
    </row>
    <row r="817" spans="8:8" x14ac:dyDescent="0.25">
      <c r="H817" s="8"/>
    </row>
    <row r="818" spans="8:8" x14ac:dyDescent="0.25">
      <c r="H818" s="8"/>
    </row>
    <row r="819" spans="8:8" x14ac:dyDescent="0.25">
      <c r="H819" s="8"/>
    </row>
    <row r="820" spans="8:8" x14ac:dyDescent="0.25">
      <c r="H820" s="8"/>
    </row>
    <row r="821" spans="8:8" x14ac:dyDescent="0.25">
      <c r="H821" s="8"/>
    </row>
    <row r="822" spans="8:8" x14ac:dyDescent="0.25">
      <c r="H822" s="8"/>
    </row>
    <row r="823" spans="8:8" x14ac:dyDescent="0.25">
      <c r="H823" s="8"/>
    </row>
    <row r="824" spans="8:8" x14ac:dyDescent="0.25">
      <c r="H824" s="8"/>
    </row>
    <row r="825" spans="8:8" x14ac:dyDescent="0.25">
      <c r="H825" s="8"/>
    </row>
    <row r="826" spans="8:8" x14ac:dyDescent="0.25">
      <c r="H826" s="8"/>
    </row>
    <row r="827" spans="8:8" x14ac:dyDescent="0.25">
      <c r="H827" s="8"/>
    </row>
    <row r="828" spans="8:8" x14ac:dyDescent="0.25">
      <c r="H828" s="8"/>
    </row>
    <row r="829" spans="8:8" x14ac:dyDescent="0.25">
      <c r="H829" s="8"/>
    </row>
    <row r="830" spans="8:8" x14ac:dyDescent="0.25">
      <c r="H830" s="8"/>
    </row>
    <row r="831" spans="8:8" x14ac:dyDescent="0.25">
      <c r="H831" s="8"/>
    </row>
    <row r="832" spans="8:8" x14ac:dyDescent="0.25">
      <c r="H832" s="8"/>
    </row>
    <row r="833" spans="8:8" x14ac:dyDescent="0.25">
      <c r="H833" s="8"/>
    </row>
    <row r="834" spans="8:8" x14ac:dyDescent="0.25">
      <c r="H834" s="8"/>
    </row>
    <row r="835" spans="8:8" x14ac:dyDescent="0.25">
      <c r="H835" s="8"/>
    </row>
    <row r="836" spans="8:8" x14ac:dyDescent="0.25">
      <c r="H836" s="8"/>
    </row>
    <row r="837" spans="8:8" x14ac:dyDescent="0.25">
      <c r="H837" s="8"/>
    </row>
    <row r="838" spans="8:8" x14ac:dyDescent="0.25">
      <c r="H838" s="8"/>
    </row>
    <row r="839" spans="8:8" x14ac:dyDescent="0.25">
      <c r="H839" s="8"/>
    </row>
    <row r="840" spans="8:8" x14ac:dyDescent="0.25">
      <c r="H840" s="8"/>
    </row>
    <row r="841" spans="8:8" x14ac:dyDescent="0.25">
      <c r="H841" s="8"/>
    </row>
    <row r="842" spans="8:8" x14ac:dyDescent="0.25">
      <c r="H842" s="8"/>
    </row>
    <row r="843" spans="8:8" x14ac:dyDescent="0.25">
      <c r="H843" s="8"/>
    </row>
    <row r="844" spans="8:8" x14ac:dyDescent="0.25">
      <c r="H844" s="8"/>
    </row>
    <row r="845" spans="8:8" x14ac:dyDescent="0.25">
      <c r="H845" s="8"/>
    </row>
    <row r="846" spans="8:8" x14ac:dyDescent="0.25">
      <c r="H846" s="8"/>
    </row>
    <row r="847" spans="8:8" x14ac:dyDescent="0.25">
      <c r="H847" s="8"/>
    </row>
    <row r="848" spans="8:8" x14ac:dyDescent="0.25">
      <c r="H848" s="8"/>
    </row>
    <row r="849" spans="8:8" x14ac:dyDescent="0.25">
      <c r="H849" s="8"/>
    </row>
    <row r="850" spans="8:8" x14ac:dyDescent="0.25">
      <c r="H850" s="8"/>
    </row>
    <row r="851" spans="8:8" x14ac:dyDescent="0.25">
      <c r="H851" s="8"/>
    </row>
    <row r="852" spans="8:8" x14ac:dyDescent="0.25">
      <c r="H852" s="8"/>
    </row>
    <row r="853" spans="8:8" x14ac:dyDescent="0.25">
      <c r="H853" s="8"/>
    </row>
    <row r="854" spans="8:8" x14ac:dyDescent="0.25">
      <c r="H854" s="8"/>
    </row>
    <row r="855" spans="8:8" x14ac:dyDescent="0.25">
      <c r="H855" s="8"/>
    </row>
    <row r="856" spans="8:8" x14ac:dyDescent="0.25">
      <c r="H856" s="8"/>
    </row>
    <row r="857" spans="8:8" x14ac:dyDescent="0.25">
      <c r="H857" s="8"/>
    </row>
    <row r="858" spans="8:8" x14ac:dyDescent="0.25">
      <c r="H858" s="8"/>
    </row>
    <row r="859" spans="8:8" x14ac:dyDescent="0.25">
      <c r="H859" s="8"/>
    </row>
    <row r="860" spans="8:8" x14ac:dyDescent="0.25">
      <c r="H860" s="8"/>
    </row>
    <row r="861" spans="8:8" x14ac:dyDescent="0.25">
      <c r="H861" s="8"/>
    </row>
    <row r="862" spans="8:8" x14ac:dyDescent="0.25">
      <c r="H862" s="8"/>
    </row>
    <row r="863" spans="8:8" x14ac:dyDescent="0.25">
      <c r="H863" s="8"/>
    </row>
    <row r="864" spans="8:8" x14ac:dyDescent="0.25">
      <c r="H864" s="8"/>
    </row>
    <row r="865" spans="8:8" x14ac:dyDescent="0.25">
      <c r="H865" s="8"/>
    </row>
    <row r="866" spans="8:8" x14ac:dyDescent="0.25">
      <c r="H866" s="8"/>
    </row>
    <row r="867" spans="8:8" x14ac:dyDescent="0.25">
      <c r="H867" s="8"/>
    </row>
    <row r="868" spans="8:8" x14ac:dyDescent="0.25">
      <c r="H868" s="8"/>
    </row>
    <row r="869" spans="8:8" x14ac:dyDescent="0.25">
      <c r="H869" s="8"/>
    </row>
    <row r="870" spans="8:8" x14ac:dyDescent="0.25">
      <c r="H870" s="8"/>
    </row>
    <row r="871" spans="8:8" x14ac:dyDescent="0.25">
      <c r="H871" s="8"/>
    </row>
    <row r="872" spans="8:8" x14ac:dyDescent="0.25">
      <c r="H872" s="8"/>
    </row>
    <row r="873" spans="8:8" x14ac:dyDescent="0.25">
      <c r="H873" s="8"/>
    </row>
    <row r="874" spans="8:8" x14ac:dyDescent="0.25">
      <c r="H874" s="8"/>
    </row>
    <row r="875" spans="8:8" x14ac:dyDescent="0.25">
      <c r="H875" s="8"/>
    </row>
    <row r="876" spans="8:8" x14ac:dyDescent="0.25">
      <c r="H876" s="8"/>
    </row>
    <row r="877" spans="8:8" x14ac:dyDescent="0.25">
      <c r="H877" s="8"/>
    </row>
    <row r="878" spans="8:8" x14ac:dyDescent="0.25">
      <c r="H878" s="8"/>
    </row>
    <row r="879" spans="8:8" x14ac:dyDescent="0.25">
      <c r="H879" s="8"/>
    </row>
    <row r="880" spans="8:8" x14ac:dyDescent="0.25">
      <c r="H880" s="8"/>
    </row>
    <row r="881" spans="8:8" x14ac:dyDescent="0.25">
      <c r="H881" s="8"/>
    </row>
    <row r="882" spans="8:8" x14ac:dyDescent="0.25">
      <c r="H882" s="8"/>
    </row>
    <row r="883" spans="8:8" x14ac:dyDescent="0.25">
      <c r="H883" s="8"/>
    </row>
    <row r="884" spans="8:8" x14ac:dyDescent="0.25">
      <c r="H884" s="8"/>
    </row>
    <row r="885" spans="8:8" x14ac:dyDescent="0.25">
      <c r="H885" s="8"/>
    </row>
    <row r="886" spans="8:8" x14ac:dyDescent="0.25">
      <c r="H886" s="8"/>
    </row>
    <row r="887" spans="8:8" x14ac:dyDescent="0.25">
      <c r="H887" s="8"/>
    </row>
    <row r="888" spans="8:8" x14ac:dyDescent="0.25">
      <c r="H888" s="8"/>
    </row>
    <row r="889" spans="8:8" x14ac:dyDescent="0.25">
      <c r="H889" s="8"/>
    </row>
    <row r="890" spans="8:8" x14ac:dyDescent="0.25">
      <c r="H890" s="8"/>
    </row>
    <row r="891" spans="8:8" x14ac:dyDescent="0.25">
      <c r="H891" s="8"/>
    </row>
    <row r="892" spans="8:8" x14ac:dyDescent="0.25">
      <c r="H892" s="8"/>
    </row>
    <row r="893" spans="8:8" x14ac:dyDescent="0.25">
      <c r="H893" s="8"/>
    </row>
    <row r="894" spans="8:8" x14ac:dyDescent="0.25">
      <c r="H894" s="8"/>
    </row>
    <row r="895" spans="8:8" x14ac:dyDescent="0.25">
      <c r="H895" s="8"/>
    </row>
    <row r="896" spans="8:8" x14ac:dyDescent="0.25">
      <c r="H896" s="8"/>
    </row>
    <row r="897" spans="8:8" x14ac:dyDescent="0.25">
      <c r="H897" s="8"/>
    </row>
    <row r="898" spans="8:8" x14ac:dyDescent="0.25">
      <c r="H898" s="8"/>
    </row>
    <row r="899" spans="8:8" x14ac:dyDescent="0.25">
      <c r="H899" s="8"/>
    </row>
    <row r="900" spans="8:8" x14ac:dyDescent="0.25">
      <c r="H900" s="8"/>
    </row>
    <row r="901" spans="8:8" x14ac:dyDescent="0.25">
      <c r="H901" s="8"/>
    </row>
    <row r="902" spans="8:8" x14ac:dyDescent="0.25">
      <c r="H902" s="8"/>
    </row>
    <row r="903" spans="8:8" x14ac:dyDescent="0.25">
      <c r="H903" s="8"/>
    </row>
    <row r="904" spans="8:8" x14ac:dyDescent="0.25">
      <c r="H904" s="8"/>
    </row>
    <row r="905" spans="8:8" x14ac:dyDescent="0.25">
      <c r="H905" s="8"/>
    </row>
    <row r="906" spans="8:8" x14ac:dyDescent="0.25">
      <c r="H906" s="8"/>
    </row>
    <row r="907" spans="8:8" x14ac:dyDescent="0.25">
      <c r="H907" s="8"/>
    </row>
    <row r="908" spans="8:8" x14ac:dyDescent="0.25">
      <c r="H908" s="8"/>
    </row>
    <row r="909" spans="8:8" x14ac:dyDescent="0.25">
      <c r="H909" s="8"/>
    </row>
    <row r="910" spans="8:8" x14ac:dyDescent="0.25">
      <c r="H910" s="8"/>
    </row>
    <row r="911" spans="8:8" x14ac:dyDescent="0.25">
      <c r="H911" s="8"/>
    </row>
    <row r="912" spans="8:8" x14ac:dyDescent="0.25">
      <c r="H912" s="8"/>
    </row>
    <row r="913" spans="8:8" x14ac:dyDescent="0.25">
      <c r="H913" s="8"/>
    </row>
    <row r="914" spans="8:8" x14ac:dyDescent="0.25">
      <c r="H914" s="8"/>
    </row>
    <row r="915" spans="8:8" x14ac:dyDescent="0.25">
      <c r="H915" s="8"/>
    </row>
    <row r="916" spans="8:8" x14ac:dyDescent="0.25">
      <c r="H916" s="8"/>
    </row>
    <row r="917" spans="8:8" x14ac:dyDescent="0.25">
      <c r="H917" s="8"/>
    </row>
    <row r="918" spans="8:8" x14ac:dyDescent="0.25">
      <c r="H918" s="8"/>
    </row>
    <row r="919" spans="8:8" x14ac:dyDescent="0.25">
      <c r="H919" s="8"/>
    </row>
    <row r="920" spans="8:8" x14ac:dyDescent="0.25">
      <c r="H920" s="8"/>
    </row>
    <row r="921" spans="8:8" x14ac:dyDescent="0.25">
      <c r="H921" s="8"/>
    </row>
    <row r="922" spans="8:8" x14ac:dyDescent="0.25">
      <c r="H922" s="8"/>
    </row>
    <row r="923" spans="8:8" x14ac:dyDescent="0.25">
      <c r="H923" s="8"/>
    </row>
    <row r="924" spans="8:8" x14ac:dyDescent="0.25">
      <c r="H924" s="8"/>
    </row>
    <row r="925" spans="8:8" x14ac:dyDescent="0.25">
      <c r="H925" s="8"/>
    </row>
    <row r="926" spans="8:8" x14ac:dyDescent="0.25">
      <c r="H926" s="8"/>
    </row>
    <row r="927" spans="8:8" x14ac:dyDescent="0.25">
      <c r="H927" s="8"/>
    </row>
    <row r="928" spans="8:8" x14ac:dyDescent="0.25">
      <c r="H928" s="8"/>
    </row>
    <row r="929" spans="8:8" x14ac:dyDescent="0.25">
      <c r="H929" s="8"/>
    </row>
    <row r="930" spans="8:8" x14ac:dyDescent="0.25">
      <c r="H930" s="8"/>
    </row>
    <row r="931" spans="8:8" x14ac:dyDescent="0.25">
      <c r="H931" s="8"/>
    </row>
    <row r="932" spans="8:8" x14ac:dyDescent="0.25">
      <c r="H932" s="8"/>
    </row>
    <row r="933" spans="8:8" x14ac:dyDescent="0.25">
      <c r="H933" s="8"/>
    </row>
    <row r="934" spans="8:8" x14ac:dyDescent="0.25">
      <c r="H934" s="8"/>
    </row>
    <row r="935" spans="8:8" x14ac:dyDescent="0.25">
      <c r="H935" s="8"/>
    </row>
    <row r="936" spans="8:8" x14ac:dyDescent="0.25">
      <c r="H936" s="8"/>
    </row>
    <row r="937" spans="8:8" x14ac:dyDescent="0.25">
      <c r="H937" s="8"/>
    </row>
    <row r="938" spans="8:8" x14ac:dyDescent="0.25">
      <c r="H938" s="8"/>
    </row>
    <row r="939" spans="8:8" x14ac:dyDescent="0.25">
      <c r="H939" s="8"/>
    </row>
    <row r="940" spans="8:8" x14ac:dyDescent="0.25">
      <c r="H940" s="8"/>
    </row>
    <row r="941" spans="8:8" x14ac:dyDescent="0.25">
      <c r="H941" s="8"/>
    </row>
    <row r="942" spans="8:8" x14ac:dyDescent="0.25">
      <c r="H942" s="8"/>
    </row>
    <row r="943" spans="8:8" x14ac:dyDescent="0.25">
      <c r="H943" s="8"/>
    </row>
    <row r="944" spans="8:8" x14ac:dyDescent="0.25">
      <c r="H944" s="8"/>
    </row>
    <row r="945" spans="8:8" x14ac:dyDescent="0.25">
      <c r="H945" s="8"/>
    </row>
    <row r="946" spans="8:8" x14ac:dyDescent="0.25">
      <c r="H946" s="8"/>
    </row>
    <row r="947" spans="8:8" x14ac:dyDescent="0.25">
      <c r="H947" s="8"/>
    </row>
    <row r="948" spans="8:8" x14ac:dyDescent="0.25">
      <c r="H948" s="8"/>
    </row>
    <row r="949" spans="8:8" x14ac:dyDescent="0.25">
      <c r="H949" s="8"/>
    </row>
    <row r="950" spans="8:8" x14ac:dyDescent="0.25">
      <c r="H950" s="8"/>
    </row>
    <row r="951" spans="8:8" x14ac:dyDescent="0.25">
      <c r="H951" s="8"/>
    </row>
    <row r="952" spans="8:8" x14ac:dyDescent="0.25">
      <c r="H952" s="8"/>
    </row>
    <row r="953" spans="8:8" x14ac:dyDescent="0.25">
      <c r="H953" s="8"/>
    </row>
    <row r="954" spans="8:8" x14ac:dyDescent="0.25">
      <c r="H954" s="8"/>
    </row>
    <row r="955" spans="8:8" x14ac:dyDescent="0.25">
      <c r="H955" s="8"/>
    </row>
    <row r="956" spans="8:8" x14ac:dyDescent="0.25">
      <c r="H956" s="8"/>
    </row>
    <row r="957" spans="8:8" x14ac:dyDescent="0.25">
      <c r="H957" s="8"/>
    </row>
    <row r="958" spans="8:8" x14ac:dyDescent="0.25">
      <c r="H958" s="8"/>
    </row>
    <row r="959" spans="8:8" x14ac:dyDescent="0.25">
      <c r="H959" s="8"/>
    </row>
    <row r="960" spans="8:8" x14ac:dyDescent="0.25">
      <c r="H960" s="8"/>
    </row>
    <row r="961" spans="8:8" x14ac:dyDescent="0.25">
      <c r="H961" s="8"/>
    </row>
    <row r="962" spans="8:8" x14ac:dyDescent="0.25">
      <c r="H962" s="8"/>
    </row>
    <row r="963" spans="8:8" x14ac:dyDescent="0.25">
      <c r="H963" s="8"/>
    </row>
    <row r="964" spans="8:8" x14ac:dyDescent="0.25">
      <c r="H964" s="8"/>
    </row>
    <row r="965" spans="8:8" x14ac:dyDescent="0.25">
      <c r="H965" s="8"/>
    </row>
    <row r="966" spans="8:8" x14ac:dyDescent="0.25">
      <c r="H966" s="8"/>
    </row>
    <row r="967" spans="8:8" x14ac:dyDescent="0.25">
      <c r="H967" s="8"/>
    </row>
    <row r="968" spans="8:8" x14ac:dyDescent="0.25">
      <c r="H968" s="8"/>
    </row>
    <row r="969" spans="8:8" x14ac:dyDescent="0.25">
      <c r="H969" s="8"/>
    </row>
    <row r="970" spans="8:8" x14ac:dyDescent="0.25">
      <c r="H970" s="8"/>
    </row>
    <row r="971" spans="8:8" x14ac:dyDescent="0.25">
      <c r="H971" s="8"/>
    </row>
    <row r="972" spans="8:8" x14ac:dyDescent="0.25">
      <c r="H972" s="8"/>
    </row>
    <row r="973" spans="8:8" x14ac:dyDescent="0.25">
      <c r="H973" s="8"/>
    </row>
    <row r="974" spans="8:8" x14ac:dyDescent="0.25">
      <c r="H974" s="8"/>
    </row>
    <row r="975" spans="8:8" x14ac:dyDescent="0.25">
      <c r="H975" s="8"/>
    </row>
    <row r="976" spans="8:8" x14ac:dyDescent="0.25">
      <c r="H976" s="8"/>
    </row>
    <row r="977" spans="8:8" x14ac:dyDescent="0.25">
      <c r="H977" s="8"/>
    </row>
    <row r="978" spans="8:8" x14ac:dyDescent="0.25">
      <c r="H978" s="8"/>
    </row>
    <row r="979" spans="8:8" x14ac:dyDescent="0.25">
      <c r="H979" s="8"/>
    </row>
    <row r="980" spans="8:8" x14ac:dyDescent="0.25">
      <c r="H980" s="8"/>
    </row>
    <row r="981" spans="8:8" x14ac:dyDescent="0.25">
      <c r="H981" s="8"/>
    </row>
    <row r="982" spans="8:8" x14ac:dyDescent="0.25">
      <c r="H982" s="8"/>
    </row>
    <row r="983" spans="8:8" x14ac:dyDescent="0.25">
      <c r="H983" s="8"/>
    </row>
    <row r="984" spans="8:8" x14ac:dyDescent="0.25">
      <c r="H984" s="8"/>
    </row>
    <row r="985" spans="8:8" x14ac:dyDescent="0.25">
      <c r="H985" s="8"/>
    </row>
    <row r="986" spans="8:8" x14ac:dyDescent="0.25">
      <c r="H986" s="8"/>
    </row>
    <row r="987" spans="8:8" x14ac:dyDescent="0.25">
      <c r="H987" s="8"/>
    </row>
    <row r="988" spans="8:8" x14ac:dyDescent="0.25">
      <c r="H988" s="8"/>
    </row>
    <row r="989" spans="8:8" x14ac:dyDescent="0.25">
      <c r="H989" s="8"/>
    </row>
    <row r="990" spans="8:8" x14ac:dyDescent="0.25">
      <c r="H990" s="8"/>
    </row>
    <row r="991" spans="8:8" x14ac:dyDescent="0.25">
      <c r="H991" s="8"/>
    </row>
    <row r="992" spans="8:8" x14ac:dyDescent="0.25">
      <c r="H992" s="8"/>
    </row>
    <row r="993" spans="8:8" x14ac:dyDescent="0.25">
      <c r="H993" s="8"/>
    </row>
    <row r="994" spans="8:8" x14ac:dyDescent="0.25">
      <c r="H994" s="8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9E4AC8-E1CB-F842-AADF-3EC238FD0DCD}">
  <sheetPr codeName="Sheet7">
    <tabColor rgb="FF00FF00"/>
    <outlinePr summaryBelow="0" summaryRight="0"/>
  </sheetPr>
  <dimension ref="A1:X233"/>
  <sheetViews>
    <sheetView topLeftCell="C77" workbookViewId="0">
      <selection activeCell="E23" sqref="E23"/>
    </sheetView>
  </sheetViews>
  <sheetFormatPr baseColWidth="10" defaultColWidth="12.6640625" defaultRowHeight="19" x14ac:dyDescent="0.25"/>
  <cols>
    <col min="1" max="1" width="30.6640625" style="4" bestFit="1" customWidth="1"/>
    <col min="2" max="2" width="8.6640625" style="4" bestFit="1" customWidth="1"/>
    <col min="3" max="3" width="8.33203125" style="4" bestFit="1" customWidth="1"/>
    <col min="4" max="4" width="18.5" style="4" bestFit="1" customWidth="1"/>
    <col min="5" max="5" width="7.83203125" style="4" bestFit="1" customWidth="1"/>
    <col min="6" max="6" width="10.5" style="4" bestFit="1" customWidth="1"/>
    <col min="7" max="7" width="9.33203125" style="4" bestFit="1" customWidth="1"/>
    <col min="8" max="8" width="13" style="4" bestFit="1" customWidth="1"/>
    <col min="9" max="9" width="15" style="4" bestFit="1" customWidth="1"/>
    <col min="10" max="10" width="12.33203125" style="4" bestFit="1" customWidth="1"/>
    <col min="11" max="11" width="12.6640625" style="4"/>
    <col min="12" max="12" width="14.1640625" style="15" bestFit="1" customWidth="1"/>
    <col min="13" max="13" width="18.33203125" style="15" bestFit="1" customWidth="1"/>
    <col min="14" max="14" width="24.1640625" style="15" bestFit="1" customWidth="1"/>
    <col min="15" max="15" width="21.5" style="15" bestFit="1" customWidth="1"/>
    <col min="16" max="16" width="17.33203125" style="15" bestFit="1" customWidth="1"/>
    <col min="17" max="17" width="12.83203125" style="15" bestFit="1" customWidth="1"/>
    <col min="18" max="18" width="12.6640625" style="4"/>
    <col min="19" max="19" width="3" style="4" bestFit="1" customWidth="1"/>
    <col min="20" max="16384" width="12.6640625" style="4"/>
  </cols>
  <sheetData>
    <row r="1" spans="1:24" ht="20" thickBot="1" x14ac:dyDescent="0.3">
      <c r="A1" s="1" t="s">
        <v>0</v>
      </c>
      <c r="B1" s="1" t="s">
        <v>1</v>
      </c>
      <c r="C1" s="1" t="s">
        <v>97</v>
      </c>
      <c r="D1" s="1" t="s">
        <v>2</v>
      </c>
      <c r="E1" s="1" t="s">
        <v>3</v>
      </c>
      <c r="F1" s="1" t="s">
        <v>5</v>
      </c>
      <c r="G1" s="1" t="s">
        <v>465</v>
      </c>
      <c r="H1" s="1" t="s">
        <v>466</v>
      </c>
      <c r="I1" s="1" t="s">
        <v>101</v>
      </c>
      <c r="J1" s="1" t="s">
        <v>467</v>
      </c>
      <c r="K1" s="6"/>
      <c r="L1" s="9" t="s">
        <v>8</v>
      </c>
      <c r="M1" s="9" t="s">
        <v>468</v>
      </c>
      <c r="N1" s="9" t="s">
        <v>106</v>
      </c>
      <c r="O1" s="17" t="s">
        <v>469</v>
      </c>
      <c r="P1" s="9" t="s">
        <v>470</v>
      </c>
      <c r="Q1" s="9" t="s">
        <v>12</v>
      </c>
      <c r="R1" s="6"/>
      <c r="S1" s="6"/>
      <c r="T1" s="6"/>
      <c r="U1" s="6"/>
      <c r="V1" s="6"/>
      <c r="W1" s="6"/>
      <c r="X1" s="6"/>
    </row>
    <row r="2" spans="1:24" ht="20" thickBot="1" x14ac:dyDescent="0.3">
      <c r="A2" s="4" t="s">
        <v>115</v>
      </c>
      <c r="B2" s="4" t="s">
        <v>20</v>
      </c>
      <c r="C2" s="4" t="s">
        <v>116</v>
      </c>
      <c r="D2" s="4" t="s">
        <v>15</v>
      </c>
      <c r="E2" s="4">
        <v>30</v>
      </c>
      <c r="F2" s="4">
        <v>1530</v>
      </c>
      <c r="G2" s="4">
        <v>1325</v>
      </c>
      <c r="H2" s="5">
        <v>0.89600000000000002</v>
      </c>
      <c r="I2" s="4">
        <v>5</v>
      </c>
      <c r="J2" s="4">
        <v>28</v>
      </c>
      <c r="L2" s="10">
        <f t="shared" ref="L2:L65" si="0">IFERROR(_xlfn.IFS(F2&gt;=F$233,1,F2&gt;=F$232,0.5),0)</f>
        <v>1</v>
      </c>
      <c r="M2" s="18">
        <v>2</v>
      </c>
      <c r="N2" s="10">
        <f t="shared" ref="N2:O65" si="1">IFERROR(_xlfn.IFS(I2&gt;=I$233,1,I2&gt;=I$232,0.5),0)</f>
        <v>1</v>
      </c>
      <c r="O2" s="10">
        <f t="shared" si="1"/>
        <v>1</v>
      </c>
      <c r="P2" s="10">
        <f t="shared" ref="P2:P65" si="2">SUM($L2:$O2)</f>
        <v>5</v>
      </c>
      <c r="Q2" s="10" t="str">
        <f t="shared" ref="Q2:Q65" si="3">_xlfn.IFS(P2=0,"☆",P2 =0.5,"☆½", P2=1,"★",P2 =1.5,"★½", P2 =2.5,"★★½", P2=2,"★★", P2=3,"★★★", P2 =3.5,"★★★½",P2=4,"★★★★", P2 =4.5,"★★★★½", P2=5,"★★★★★")</f>
        <v>★★★★★</v>
      </c>
    </row>
    <row r="3" spans="1:24" ht="20" thickBot="1" x14ac:dyDescent="0.3">
      <c r="A3" s="4" t="s">
        <v>118</v>
      </c>
      <c r="B3" s="4" t="s">
        <v>14</v>
      </c>
      <c r="C3" s="4" t="s">
        <v>116</v>
      </c>
      <c r="D3" s="4" t="s">
        <v>27</v>
      </c>
      <c r="E3" s="4">
        <v>30</v>
      </c>
      <c r="F3" s="4">
        <v>2187</v>
      </c>
      <c r="G3" s="4">
        <v>757</v>
      </c>
      <c r="H3" s="5">
        <v>0.78300000000000003</v>
      </c>
      <c r="I3" s="4">
        <v>2</v>
      </c>
      <c r="J3" s="4">
        <v>15</v>
      </c>
      <c r="L3" s="10">
        <f t="shared" si="0"/>
        <v>1</v>
      </c>
      <c r="M3" s="18">
        <v>0</v>
      </c>
      <c r="N3" s="10">
        <f t="shared" si="1"/>
        <v>0.5</v>
      </c>
      <c r="O3" s="10">
        <f t="shared" si="1"/>
        <v>0.5</v>
      </c>
      <c r="P3" s="10">
        <f t="shared" si="2"/>
        <v>2</v>
      </c>
      <c r="Q3" s="10" t="str">
        <f t="shared" si="3"/>
        <v>★★</v>
      </c>
    </row>
    <row r="4" spans="1:24" ht="20" thickBot="1" x14ac:dyDescent="0.3">
      <c r="A4" s="4" t="s">
        <v>119</v>
      </c>
      <c r="B4" s="4" t="s">
        <v>29</v>
      </c>
      <c r="C4" s="4" t="s">
        <v>116</v>
      </c>
      <c r="D4" s="4" t="s">
        <v>27</v>
      </c>
      <c r="E4" s="4">
        <v>25</v>
      </c>
      <c r="F4" s="4">
        <v>342</v>
      </c>
      <c r="G4" s="4">
        <v>114</v>
      </c>
      <c r="H4" s="7">
        <v>0.75</v>
      </c>
      <c r="I4" s="4">
        <v>0</v>
      </c>
      <c r="J4" s="4">
        <v>7</v>
      </c>
      <c r="L4" s="10">
        <f t="shared" si="0"/>
        <v>0</v>
      </c>
      <c r="M4" s="18">
        <v>0</v>
      </c>
      <c r="N4" s="10">
        <f t="shared" si="1"/>
        <v>0</v>
      </c>
      <c r="O4" s="10">
        <f t="shared" si="1"/>
        <v>0</v>
      </c>
      <c r="P4" s="10">
        <f t="shared" si="2"/>
        <v>0</v>
      </c>
      <c r="Q4" s="10" t="str">
        <f t="shared" si="3"/>
        <v>☆</v>
      </c>
    </row>
    <row r="5" spans="1:24" ht="20" thickBot="1" x14ac:dyDescent="0.3">
      <c r="A5" s="4" t="s">
        <v>119</v>
      </c>
      <c r="B5" s="4" t="s">
        <v>29</v>
      </c>
      <c r="C5" s="4" t="s">
        <v>471</v>
      </c>
      <c r="D5" s="4" t="s">
        <v>65</v>
      </c>
      <c r="E5" s="4">
        <v>25</v>
      </c>
      <c r="F5" s="4">
        <v>657</v>
      </c>
      <c r="G5" s="4">
        <v>167</v>
      </c>
      <c r="H5" s="7">
        <v>0.78</v>
      </c>
      <c r="I5" s="4">
        <v>1</v>
      </c>
      <c r="J5" s="4">
        <v>2</v>
      </c>
      <c r="L5" s="10">
        <f t="shared" si="0"/>
        <v>0</v>
      </c>
      <c r="M5" s="18">
        <v>0</v>
      </c>
      <c r="N5" s="10">
        <f t="shared" si="1"/>
        <v>0</v>
      </c>
      <c r="O5" s="10">
        <f t="shared" si="1"/>
        <v>0</v>
      </c>
      <c r="P5" s="10">
        <f t="shared" si="2"/>
        <v>0</v>
      </c>
      <c r="Q5" s="10" t="str">
        <f t="shared" si="3"/>
        <v>☆</v>
      </c>
    </row>
    <row r="6" spans="1:24" ht="20" thickBot="1" x14ac:dyDescent="0.3">
      <c r="A6" s="4" t="s">
        <v>472</v>
      </c>
      <c r="B6" s="4" t="s">
        <v>473</v>
      </c>
      <c r="C6" s="4" t="s">
        <v>471</v>
      </c>
      <c r="D6" s="4" t="s">
        <v>35</v>
      </c>
      <c r="E6" s="4">
        <v>27</v>
      </c>
      <c r="F6" s="4">
        <v>1719.0000000000002</v>
      </c>
      <c r="G6" s="4">
        <v>406</v>
      </c>
      <c r="H6" s="5">
        <v>0.80400000000000005</v>
      </c>
      <c r="I6" s="4">
        <v>1</v>
      </c>
      <c r="J6" s="4">
        <v>16</v>
      </c>
      <c r="L6" s="10">
        <f t="shared" si="0"/>
        <v>1</v>
      </c>
      <c r="M6" s="18">
        <v>1</v>
      </c>
      <c r="N6" s="10">
        <f t="shared" si="1"/>
        <v>0</v>
      </c>
      <c r="O6" s="10">
        <f t="shared" si="1"/>
        <v>0.5</v>
      </c>
      <c r="P6" s="10">
        <f t="shared" si="2"/>
        <v>2.5</v>
      </c>
      <c r="Q6" s="10" t="str">
        <f t="shared" si="3"/>
        <v>★★½</v>
      </c>
    </row>
    <row r="7" spans="1:24" ht="20" thickBot="1" x14ac:dyDescent="0.3">
      <c r="A7" s="4" t="s">
        <v>121</v>
      </c>
      <c r="B7" s="4" t="s">
        <v>122</v>
      </c>
      <c r="C7" s="4" t="s">
        <v>116</v>
      </c>
      <c r="D7" s="4" t="s">
        <v>85</v>
      </c>
      <c r="E7" s="4">
        <v>22</v>
      </c>
      <c r="F7" s="4">
        <v>405</v>
      </c>
      <c r="G7" s="4">
        <v>207</v>
      </c>
      <c r="H7" s="5">
        <v>0.88500000000000001</v>
      </c>
      <c r="I7" s="4">
        <v>0</v>
      </c>
      <c r="J7" s="4">
        <v>3</v>
      </c>
      <c r="L7" s="10">
        <f t="shared" si="0"/>
        <v>0</v>
      </c>
      <c r="M7" s="18">
        <v>0</v>
      </c>
      <c r="N7" s="10">
        <f t="shared" si="1"/>
        <v>0</v>
      </c>
      <c r="O7" s="10">
        <f t="shared" si="1"/>
        <v>0</v>
      </c>
      <c r="P7" s="10">
        <f t="shared" si="2"/>
        <v>0</v>
      </c>
      <c r="Q7" s="10" t="str">
        <f t="shared" si="3"/>
        <v>☆</v>
      </c>
    </row>
    <row r="8" spans="1:24" ht="20" thickBot="1" x14ac:dyDescent="0.3">
      <c r="A8" s="4" t="s">
        <v>474</v>
      </c>
      <c r="B8" s="4" t="s">
        <v>29</v>
      </c>
      <c r="C8" s="4" t="s">
        <v>471</v>
      </c>
      <c r="D8" s="4" t="s">
        <v>69</v>
      </c>
      <c r="E8" s="4">
        <v>19</v>
      </c>
      <c r="F8" s="4">
        <v>27</v>
      </c>
      <c r="G8" s="4">
        <v>5</v>
      </c>
      <c r="H8" s="7">
        <v>1</v>
      </c>
      <c r="I8" s="4">
        <v>0</v>
      </c>
      <c r="J8" s="4">
        <v>0</v>
      </c>
      <c r="L8" s="10">
        <f t="shared" si="0"/>
        <v>0</v>
      </c>
      <c r="M8" s="18">
        <v>0</v>
      </c>
      <c r="N8" s="10">
        <f t="shared" si="1"/>
        <v>0</v>
      </c>
      <c r="O8" s="10">
        <f t="shared" si="1"/>
        <v>0</v>
      </c>
      <c r="P8" s="10">
        <f t="shared" si="2"/>
        <v>0</v>
      </c>
      <c r="Q8" s="10" t="str">
        <f t="shared" si="3"/>
        <v>☆</v>
      </c>
      <c r="S8" s="19"/>
    </row>
    <row r="9" spans="1:24" ht="20" thickBot="1" x14ac:dyDescent="0.3">
      <c r="A9" s="4" t="s">
        <v>126</v>
      </c>
      <c r="B9" s="4" t="s">
        <v>127</v>
      </c>
      <c r="C9" s="4" t="s">
        <v>116</v>
      </c>
      <c r="D9" s="4" t="s">
        <v>33</v>
      </c>
      <c r="E9" s="4">
        <v>29</v>
      </c>
      <c r="F9" s="4">
        <v>1475.9999999999998</v>
      </c>
      <c r="G9" s="4">
        <v>583</v>
      </c>
      <c r="H9" s="5">
        <v>0.79400000000000004</v>
      </c>
      <c r="I9" s="4">
        <v>2</v>
      </c>
      <c r="J9" s="4">
        <v>25</v>
      </c>
      <c r="L9" s="10">
        <f t="shared" si="0"/>
        <v>1</v>
      </c>
      <c r="M9" s="18">
        <v>1</v>
      </c>
      <c r="N9" s="10">
        <f t="shared" si="1"/>
        <v>0.5</v>
      </c>
      <c r="O9" s="10">
        <f t="shared" si="1"/>
        <v>1</v>
      </c>
      <c r="P9" s="10">
        <f t="shared" si="2"/>
        <v>3.5</v>
      </c>
      <c r="Q9" s="10" t="str">
        <f t="shared" si="3"/>
        <v>★★★½</v>
      </c>
    </row>
    <row r="10" spans="1:24" ht="20" thickBot="1" x14ac:dyDescent="0.3">
      <c r="A10" s="4" t="s">
        <v>475</v>
      </c>
      <c r="B10" s="4" t="s">
        <v>376</v>
      </c>
      <c r="C10" s="4" t="s">
        <v>476</v>
      </c>
      <c r="D10" s="4" t="s">
        <v>69</v>
      </c>
      <c r="E10" s="4">
        <v>23</v>
      </c>
      <c r="F10" s="4">
        <v>765</v>
      </c>
      <c r="G10" s="4">
        <v>149</v>
      </c>
      <c r="H10" s="5">
        <v>0.66500000000000004</v>
      </c>
      <c r="I10" s="4">
        <v>3</v>
      </c>
      <c r="J10" s="4">
        <v>8</v>
      </c>
      <c r="L10" s="10">
        <f t="shared" si="0"/>
        <v>0</v>
      </c>
      <c r="M10" s="18">
        <v>0</v>
      </c>
      <c r="N10" s="10">
        <f t="shared" si="1"/>
        <v>0.5</v>
      </c>
      <c r="O10" s="10">
        <f t="shared" si="1"/>
        <v>0</v>
      </c>
      <c r="P10" s="10">
        <f t="shared" si="2"/>
        <v>0.5</v>
      </c>
      <c r="Q10" s="10" t="str">
        <f t="shared" si="3"/>
        <v>☆½</v>
      </c>
    </row>
    <row r="11" spans="1:24" ht="20" thickBot="1" x14ac:dyDescent="0.3">
      <c r="A11" s="4" t="s">
        <v>134</v>
      </c>
      <c r="B11" s="4" t="s">
        <v>135</v>
      </c>
      <c r="C11" s="4" t="s">
        <v>116</v>
      </c>
      <c r="D11" s="4" t="s">
        <v>43</v>
      </c>
      <c r="E11" s="4">
        <v>23</v>
      </c>
      <c r="F11" s="4">
        <v>909</v>
      </c>
      <c r="G11" s="4">
        <v>255</v>
      </c>
      <c r="H11" s="5">
        <v>0.83299999999999996</v>
      </c>
      <c r="I11" s="4">
        <v>1</v>
      </c>
      <c r="J11" s="4">
        <v>9</v>
      </c>
      <c r="L11" s="10">
        <f t="shared" si="0"/>
        <v>0</v>
      </c>
      <c r="M11" s="18">
        <v>0</v>
      </c>
      <c r="N11" s="10">
        <f t="shared" si="1"/>
        <v>0</v>
      </c>
      <c r="O11" s="10">
        <f t="shared" si="1"/>
        <v>0</v>
      </c>
      <c r="P11" s="10">
        <f t="shared" si="2"/>
        <v>0</v>
      </c>
      <c r="Q11" s="10" t="str">
        <f t="shared" si="3"/>
        <v>☆</v>
      </c>
    </row>
    <row r="12" spans="1:24" ht="20" thickBot="1" x14ac:dyDescent="0.3">
      <c r="A12" s="4" t="s">
        <v>136</v>
      </c>
      <c r="B12" s="4" t="s">
        <v>29</v>
      </c>
      <c r="C12" s="4" t="s">
        <v>116</v>
      </c>
      <c r="D12" s="4" t="s">
        <v>21</v>
      </c>
      <c r="E12" s="4">
        <v>27</v>
      </c>
      <c r="F12" s="4">
        <v>180</v>
      </c>
      <c r="G12" s="4">
        <v>105</v>
      </c>
      <c r="H12" s="5">
        <v>0.82699999999999996</v>
      </c>
      <c r="I12" s="4">
        <v>1</v>
      </c>
      <c r="J12" s="4">
        <v>8</v>
      </c>
      <c r="L12" s="10">
        <f t="shared" si="0"/>
        <v>0</v>
      </c>
      <c r="M12" s="18">
        <v>0</v>
      </c>
      <c r="N12" s="10">
        <f t="shared" si="1"/>
        <v>0</v>
      </c>
      <c r="O12" s="10">
        <f t="shared" si="1"/>
        <v>0</v>
      </c>
      <c r="P12" s="10">
        <f t="shared" si="2"/>
        <v>0</v>
      </c>
      <c r="Q12" s="10" t="str">
        <f t="shared" si="3"/>
        <v>☆</v>
      </c>
    </row>
    <row r="13" spans="1:24" ht="20" thickBot="1" x14ac:dyDescent="0.3">
      <c r="A13" s="4" t="s">
        <v>477</v>
      </c>
      <c r="B13" s="4" t="s">
        <v>29</v>
      </c>
      <c r="C13" s="4" t="s">
        <v>476</v>
      </c>
      <c r="D13" s="4" t="s">
        <v>87</v>
      </c>
      <c r="E13" s="4">
        <v>23</v>
      </c>
      <c r="F13" s="4">
        <v>2097</v>
      </c>
      <c r="G13" s="4">
        <v>557</v>
      </c>
      <c r="H13" s="5">
        <v>0.74199999999999999</v>
      </c>
      <c r="I13" s="4">
        <v>16</v>
      </c>
      <c r="J13" s="4">
        <v>29</v>
      </c>
      <c r="L13" s="10">
        <f t="shared" si="0"/>
        <v>1</v>
      </c>
      <c r="M13" s="18">
        <v>0</v>
      </c>
      <c r="N13" s="10">
        <f t="shared" si="1"/>
        <v>1</v>
      </c>
      <c r="O13" s="10">
        <f t="shared" si="1"/>
        <v>1</v>
      </c>
      <c r="P13" s="10">
        <f t="shared" si="2"/>
        <v>3</v>
      </c>
      <c r="Q13" s="10" t="str">
        <f t="shared" si="3"/>
        <v>★★★</v>
      </c>
    </row>
    <row r="14" spans="1:24" ht="20" thickBot="1" x14ac:dyDescent="0.3">
      <c r="A14" s="4" t="s">
        <v>137</v>
      </c>
      <c r="B14" s="4" t="s">
        <v>29</v>
      </c>
      <c r="C14" s="4" t="s">
        <v>116</v>
      </c>
      <c r="D14" s="4" t="s">
        <v>58</v>
      </c>
      <c r="E14" s="4">
        <v>18</v>
      </c>
      <c r="F14" s="4">
        <v>144</v>
      </c>
      <c r="G14" s="4">
        <v>41</v>
      </c>
      <c r="H14" s="5">
        <v>0.75900000000000001</v>
      </c>
      <c r="I14" s="4">
        <v>0</v>
      </c>
      <c r="J14" s="4">
        <v>0</v>
      </c>
      <c r="L14" s="10">
        <f t="shared" si="0"/>
        <v>0</v>
      </c>
      <c r="M14" s="18">
        <v>0</v>
      </c>
      <c r="N14" s="10">
        <f t="shared" si="1"/>
        <v>0</v>
      </c>
      <c r="O14" s="10">
        <f t="shared" si="1"/>
        <v>0</v>
      </c>
      <c r="P14" s="10">
        <f t="shared" si="2"/>
        <v>0</v>
      </c>
      <c r="Q14" s="10" t="str">
        <f t="shared" si="3"/>
        <v>☆</v>
      </c>
    </row>
    <row r="15" spans="1:24" ht="20" thickBot="1" x14ac:dyDescent="0.3">
      <c r="A15" s="4" t="s">
        <v>140</v>
      </c>
      <c r="B15" s="4" t="s">
        <v>60</v>
      </c>
      <c r="C15" s="4" t="s">
        <v>116</v>
      </c>
      <c r="D15" s="4" t="s">
        <v>27</v>
      </c>
      <c r="E15" s="4">
        <v>24</v>
      </c>
      <c r="F15" s="4">
        <v>486.00000000000006</v>
      </c>
      <c r="G15" s="4">
        <v>202</v>
      </c>
      <c r="H15" s="5">
        <v>0.83799999999999997</v>
      </c>
      <c r="I15" s="4">
        <v>1</v>
      </c>
      <c r="J15" s="4">
        <v>2</v>
      </c>
      <c r="L15" s="10">
        <f t="shared" si="0"/>
        <v>0</v>
      </c>
      <c r="M15" s="18">
        <v>0</v>
      </c>
      <c r="N15" s="10">
        <f t="shared" si="1"/>
        <v>0</v>
      </c>
      <c r="O15" s="10">
        <f t="shared" si="1"/>
        <v>0</v>
      </c>
      <c r="P15" s="10">
        <f t="shared" si="2"/>
        <v>0</v>
      </c>
      <c r="Q15" s="10" t="str">
        <f t="shared" si="3"/>
        <v>☆</v>
      </c>
    </row>
    <row r="16" spans="1:24" ht="20" thickBot="1" x14ac:dyDescent="0.3">
      <c r="A16" s="4" t="s">
        <v>140</v>
      </c>
      <c r="B16" s="4" t="s">
        <v>60</v>
      </c>
      <c r="C16" s="4" t="s">
        <v>116</v>
      </c>
      <c r="D16" s="4" t="s">
        <v>47</v>
      </c>
      <c r="E16" s="4">
        <v>24</v>
      </c>
      <c r="F16" s="4">
        <v>72</v>
      </c>
      <c r="G16" s="4">
        <v>25</v>
      </c>
      <c r="H16" s="5">
        <v>0.78100000000000003</v>
      </c>
      <c r="I16" s="4">
        <v>1</v>
      </c>
      <c r="J16" s="4">
        <v>3</v>
      </c>
      <c r="L16" s="10">
        <f t="shared" si="0"/>
        <v>0</v>
      </c>
      <c r="M16" s="18">
        <v>0</v>
      </c>
      <c r="N16" s="10">
        <f t="shared" si="1"/>
        <v>0</v>
      </c>
      <c r="O16" s="10">
        <f t="shared" si="1"/>
        <v>0</v>
      </c>
      <c r="P16" s="10">
        <f t="shared" si="2"/>
        <v>0</v>
      </c>
      <c r="Q16" s="10" t="str">
        <f t="shared" si="3"/>
        <v>☆</v>
      </c>
    </row>
    <row r="17" spans="1:17" ht="20" thickBot="1" x14ac:dyDescent="0.3">
      <c r="A17" s="4" t="s">
        <v>478</v>
      </c>
      <c r="B17" s="4" t="s">
        <v>479</v>
      </c>
      <c r="C17" s="4" t="s">
        <v>476</v>
      </c>
      <c r="D17" s="4" t="s">
        <v>18</v>
      </c>
      <c r="E17" s="4">
        <v>25</v>
      </c>
      <c r="F17" s="4">
        <v>2169</v>
      </c>
      <c r="G17" s="4">
        <v>625</v>
      </c>
      <c r="H17" s="5">
        <v>0.752</v>
      </c>
      <c r="I17" s="4">
        <v>14</v>
      </c>
      <c r="J17" s="4">
        <v>31</v>
      </c>
      <c r="L17" s="10">
        <f t="shared" si="0"/>
        <v>1</v>
      </c>
      <c r="M17" s="18">
        <v>0</v>
      </c>
      <c r="N17" s="10">
        <f t="shared" si="1"/>
        <v>1</v>
      </c>
      <c r="O17" s="10">
        <f t="shared" si="1"/>
        <v>1</v>
      </c>
      <c r="P17" s="10">
        <f t="shared" si="2"/>
        <v>3</v>
      </c>
      <c r="Q17" s="10" t="str">
        <f t="shared" si="3"/>
        <v>★★★</v>
      </c>
    </row>
    <row r="18" spans="1:17" ht="20" thickBot="1" x14ac:dyDescent="0.3">
      <c r="A18" s="4" t="s">
        <v>141</v>
      </c>
      <c r="B18" s="4" t="s">
        <v>142</v>
      </c>
      <c r="C18" s="4" t="s">
        <v>116</v>
      </c>
      <c r="D18" s="4" t="s">
        <v>65</v>
      </c>
      <c r="E18" s="4">
        <v>24</v>
      </c>
      <c r="F18" s="4">
        <v>1359</v>
      </c>
      <c r="G18" s="4">
        <v>905</v>
      </c>
      <c r="H18" s="5">
        <v>0.89200000000000002</v>
      </c>
      <c r="I18" s="4">
        <v>4</v>
      </c>
      <c r="J18" s="4">
        <v>15</v>
      </c>
      <c r="L18" s="10">
        <f t="shared" si="0"/>
        <v>1</v>
      </c>
      <c r="M18" s="18">
        <v>1</v>
      </c>
      <c r="N18" s="10">
        <f t="shared" si="1"/>
        <v>1</v>
      </c>
      <c r="O18" s="10">
        <f t="shared" si="1"/>
        <v>0.5</v>
      </c>
      <c r="P18" s="10">
        <f t="shared" si="2"/>
        <v>3.5</v>
      </c>
      <c r="Q18" s="10" t="str">
        <f t="shared" si="3"/>
        <v>★★★½</v>
      </c>
    </row>
    <row r="19" spans="1:17" ht="20" thickBot="1" x14ac:dyDescent="0.3">
      <c r="A19" s="4" t="s">
        <v>143</v>
      </c>
      <c r="B19" s="4" t="s">
        <v>144</v>
      </c>
      <c r="C19" s="4" t="s">
        <v>116</v>
      </c>
      <c r="D19" s="4" t="s">
        <v>53</v>
      </c>
      <c r="E19" s="4">
        <v>30</v>
      </c>
      <c r="F19" s="4">
        <v>1098</v>
      </c>
      <c r="G19" s="4">
        <v>218</v>
      </c>
      <c r="H19" s="5">
        <v>0.63200000000000001</v>
      </c>
      <c r="I19" s="4">
        <v>1</v>
      </c>
      <c r="J19" s="4">
        <v>6</v>
      </c>
      <c r="L19" s="10">
        <f t="shared" si="0"/>
        <v>0</v>
      </c>
      <c r="M19" s="18">
        <v>0</v>
      </c>
      <c r="N19" s="10">
        <f t="shared" si="1"/>
        <v>0</v>
      </c>
      <c r="O19" s="10">
        <f t="shared" si="1"/>
        <v>0</v>
      </c>
      <c r="P19" s="10">
        <f t="shared" si="2"/>
        <v>0</v>
      </c>
      <c r="Q19" s="10" t="str">
        <f t="shared" si="3"/>
        <v>☆</v>
      </c>
    </row>
    <row r="20" spans="1:17" ht="20" thickBot="1" x14ac:dyDescent="0.3">
      <c r="A20" s="4" t="s">
        <v>480</v>
      </c>
      <c r="B20" s="4" t="s">
        <v>60</v>
      </c>
      <c r="C20" s="4" t="s">
        <v>476</v>
      </c>
      <c r="D20" s="4" t="s">
        <v>65</v>
      </c>
      <c r="E20" s="4">
        <v>23</v>
      </c>
      <c r="F20" s="4">
        <v>567</v>
      </c>
      <c r="G20" s="4">
        <v>148</v>
      </c>
      <c r="H20" s="5">
        <v>0.83099999999999996</v>
      </c>
      <c r="I20" s="4">
        <v>4</v>
      </c>
      <c r="J20" s="4">
        <v>8</v>
      </c>
      <c r="L20" s="10">
        <f t="shared" si="0"/>
        <v>0</v>
      </c>
      <c r="M20" s="18">
        <v>0</v>
      </c>
      <c r="N20" s="10">
        <f t="shared" si="1"/>
        <v>1</v>
      </c>
      <c r="O20" s="10">
        <f t="shared" si="1"/>
        <v>0</v>
      </c>
      <c r="P20" s="10">
        <f t="shared" si="2"/>
        <v>1</v>
      </c>
      <c r="Q20" s="10" t="str">
        <f t="shared" si="3"/>
        <v>★</v>
      </c>
    </row>
    <row r="21" spans="1:17" ht="20" thickBot="1" x14ac:dyDescent="0.3">
      <c r="A21" s="4" t="s">
        <v>146</v>
      </c>
      <c r="B21" s="4" t="s">
        <v>67</v>
      </c>
      <c r="C21" s="4" t="s">
        <v>116</v>
      </c>
      <c r="D21" s="4" t="s">
        <v>43</v>
      </c>
      <c r="E21" s="4">
        <v>20</v>
      </c>
      <c r="F21" s="4">
        <v>45</v>
      </c>
      <c r="G21" s="4">
        <v>8</v>
      </c>
      <c r="H21" s="5">
        <v>0.72699999999999998</v>
      </c>
      <c r="I21" s="4">
        <v>0</v>
      </c>
      <c r="J21" s="4">
        <v>0</v>
      </c>
      <c r="L21" s="10">
        <f t="shared" si="0"/>
        <v>0</v>
      </c>
      <c r="M21" s="18">
        <v>0</v>
      </c>
      <c r="N21" s="10">
        <f t="shared" si="1"/>
        <v>0</v>
      </c>
      <c r="O21" s="10">
        <f t="shared" si="1"/>
        <v>0</v>
      </c>
      <c r="P21" s="10">
        <f t="shared" si="2"/>
        <v>0</v>
      </c>
      <c r="Q21" s="10" t="str">
        <f t="shared" si="3"/>
        <v>☆</v>
      </c>
    </row>
    <row r="22" spans="1:17" ht="20" thickBot="1" x14ac:dyDescent="0.3">
      <c r="A22" s="4" t="s">
        <v>147</v>
      </c>
      <c r="B22" s="4" t="s">
        <v>148</v>
      </c>
      <c r="C22" s="4" t="s">
        <v>116</v>
      </c>
      <c r="D22" s="4" t="s">
        <v>85</v>
      </c>
      <c r="E22" s="4">
        <v>24</v>
      </c>
      <c r="F22" s="4">
        <v>2115</v>
      </c>
      <c r="G22" s="4">
        <v>1061</v>
      </c>
      <c r="H22" s="5">
        <v>0.89700000000000002</v>
      </c>
      <c r="I22" s="4">
        <v>3</v>
      </c>
      <c r="J22" s="4">
        <v>8</v>
      </c>
      <c r="L22" s="10">
        <f t="shared" si="0"/>
        <v>1</v>
      </c>
      <c r="M22" s="18">
        <v>1</v>
      </c>
      <c r="N22" s="10">
        <f t="shared" si="1"/>
        <v>0.5</v>
      </c>
      <c r="O22" s="10">
        <f t="shared" si="1"/>
        <v>0</v>
      </c>
      <c r="P22" s="10">
        <f t="shared" si="2"/>
        <v>2.5</v>
      </c>
      <c r="Q22" s="10" t="str">
        <f t="shared" si="3"/>
        <v>★★½</v>
      </c>
    </row>
    <row r="23" spans="1:17" ht="20" thickBot="1" x14ac:dyDescent="0.3">
      <c r="A23" s="4" t="s">
        <v>151</v>
      </c>
      <c r="B23" s="4" t="s">
        <v>29</v>
      </c>
      <c r="C23" s="4" t="s">
        <v>116</v>
      </c>
      <c r="D23" s="4" t="s">
        <v>53</v>
      </c>
      <c r="E23" s="4">
        <v>25</v>
      </c>
      <c r="F23" s="4">
        <v>2951.9999999999995</v>
      </c>
      <c r="G23" s="4">
        <v>900</v>
      </c>
      <c r="H23" s="5">
        <v>0.75600000000000001</v>
      </c>
      <c r="I23" s="4">
        <v>5</v>
      </c>
      <c r="J23" s="4">
        <v>40</v>
      </c>
      <c r="L23" s="10">
        <f t="shared" si="0"/>
        <v>1</v>
      </c>
      <c r="M23" s="18">
        <v>0</v>
      </c>
      <c r="N23" s="10">
        <f t="shared" si="1"/>
        <v>1</v>
      </c>
      <c r="O23" s="10">
        <f t="shared" si="1"/>
        <v>1</v>
      </c>
      <c r="P23" s="10">
        <f t="shared" si="2"/>
        <v>3</v>
      </c>
      <c r="Q23" s="10" t="str">
        <f t="shared" si="3"/>
        <v>★★★</v>
      </c>
    </row>
    <row r="24" spans="1:17" ht="20" thickBot="1" x14ac:dyDescent="0.3">
      <c r="A24" s="4" t="s">
        <v>152</v>
      </c>
      <c r="B24" s="4" t="s">
        <v>29</v>
      </c>
      <c r="C24" s="4" t="s">
        <v>116</v>
      </c>
      <c r="D24" s="4" t="s">
        <v>87</v>
      </c>
      <c r="E24" s="4">
        <v>20</v>
      </c>
      <c r="F24" s="4">
        <v>27</v>
      </c>
      <c r="G24" s="4">
        <v>21</v>
      </c>
      <c r="H24" s="7">
        <v>1</v>
      </c>
      <c r="I24" s="4">
        <v>0</v>
      </c>
      <c r="J24" s="4">
        <v>0</v>
      </c>
      <c r="L24" s="10">
        <f t="shared" si="0"/>
        <v>0</v>
      </c>
      <c r="M24" s="18">
        <v>0</v>
      </c>
      <c r="N24" s="10">
        <f t="shared" si="1"/>
        <v>0</v>
      </c>
      <c r="O24" s="10">
        <f t="shared" si="1"/>
        <v>0</v>
      </c>
      <c r="P24" s="10">
        <f t="shared" si="2"/>
        <v>0</v>
      </c>
      <c r="Q24" s="10" t="str">
        <f t="shared" si="3"/>
        <v>☆</v>
      </c>
    </row>
    <row r="25" spans="1:17" ht="20" thickBot="1" x14ac:dyDescent="0.3">
      <c r="A25" s="4" t="s">
        <v>481</v>
      </c>
      <c r="B25" s="4" t="s">
        <v>20</v>
      </c>
      <c r="C25" s="4" t="s">
        <v>476</v>
      </c>
      <c r="D25" s="4" t="s">
        <v>65</v>
      </c>
      <c r="E25" s="4">
        <v>20</v>
      </c>
      <c r="F25" s="4">
        <v>90</v>
      </c>
      <c r="G25" s="4">
        <v>49</v>
      </c>
      <c r="H25" s="5">
        <v>0.77800000000000002</v>
      </c>
      <c r="I25" s="4">
        <v>0</v>
      </c>
      <c r="J25" s="4">
        <v>2</v>
      </c>
      <c r="L25" s="10">
        <f t="shared" si="0"/>
        <v>0</v>
      </c>
      <c r="M25" s="18">
        <v>0</v>
      </c>
      <c r="N25" s="10">
        <f t="shared" si="1"/>
        <v>0</v>
      </c>
      <c r="O25" s="10">
        <f t="shared" si="1"/>
        <v>0</v>
      </c>
      <c r="P25" s="10">
        <f t="shared" si="2"/>
        <v>0</v>
      </c>
      <c r="Q25" s="10" t="str">
        <f t="shared" si="3"/>
        <v>☆</v>
      </c>
    </row>
    <row r="26" spans="1:17" ht="20" thickBot="1" x14ac:dyDescent="0.3">
      <c r="A26" s="4" t="s">
        <v>482</v>
      </c>
      <c r="B26" s="4" t="s">
        <v>32</v>
      </c>
      <c r="C26" s="4" t="s">
        <v>476</v>
      </c>
      <c r="D26" s="4" t="s">
        <v>69</v>
      </c>
      <c r="E26" s="4">
        <v>24</v>
      </c>
      <c r="F26" s="4">
        <v>1899.0000000000002</v>
      </c>
      <c r="G26" s="4">
        <v>697</v>
      </c>
      <c r="H26" s="5">
        <v>0.79600000000000004</v>
      </c>
      <c r="I26" s="4">
        <v>10</v>
      </c>
      <c r="J26" s="4">
        <v>45</v>
      </c>
      <c r="L26" s="10">
        <f t="shared" si="0"/>
        <v>1</v>
      </c>
      <c r="M26" s="18">
        <v>1</v>
      </c>
      <c r="N26" s="10">
        <f t="shared" si="1"/>
        <v>1</v>
      </c>
      <c r="O26" s="10">
        <f t="shared" si="1"/>
        <v>1</v>
      </c>
      <c r="P26" s="10">
        <f t="shared" si="2"/>
        <v>4</v>
      </c>
      <c r="Q26" s="10" t="str">
        <f t="shared" si="3"/>
        <v>★★★★</v>
      </c>
    </row>
    <row r="27" spans="1:17" ht="20" thickBot="1" x14ac:dyDescent="0.3">
      <c r="A27" s="4" t="s">
        <v>155</v>
      </c>
      <c r="B27" s="4" t="s">
        <v>156</v>
      </c>
      <c r="C27" s="4" t="s">
        <v>116</v>
      </c>
      <c r="D27" s="4" t="s">
        <v>85</v>
      </c>
      <c r="E27" s="4">
        <v>19</v>
      </c>
      <c r="F27" s="4">
        <v>657</v>
      </c>
      <c r="G27" s="4">
        <v>224</v>
      </c>
      <c r="H27" s="5">
        <v>0.81799999999999995</v>
      </c>
      <c r="I27" s="4">
        <v>2</v>
      </c>
      <c r="J27" s="4">
        <v>5</v>
      </c>
      <c r="L27" s="10">
        <f t="shared" si="0"/>
        <v>0</v>
      </c>
      <c r="M27" s="18">
        <v>0</v>
      </c>
      <c r="N27" s="10">
        <f t="shared" si="1"/>
        <v>0.5</v>
      </c>
      <c r="O27" s="10">
        <f t="shared" si="1"/>
        <v>0</v>
      </c>
      <c r="P27" s="10">
        <f t="shared" si="2"/>
        <v>0.5</v>
      </c>
      <c r="Q27" s="10" t="str">
        <f t="shared" si="3"/>
        <v>☆½</v>
      </c>
    </row>
    <row r="28" spans="1:17" ht="20" thickBot="1" x14ac:dyDescent="0.3">
      <c r="A28" s="4" t="s">
        <v>157</v>
      </c>
      <c r="B28" s="4" t="s">
        <v>52</v>
      </c>
      <c r="C28" s="4" t="s">
        <v>116</v>
      </c>
      <c r="D28" s="4" t="s">
        <v>81</v>
      </c>
      <c r="E28" s="4">
        <v>18</v>
      </c>
      <c r="F28" s="4">
        <v>9</v>
      </c>
      <c r="G28" s="4">
        <v>9</v>
      </c>
      <c r="H28" s="7">
        <v>0.9</v>
      </c>
      <c r="I28" s="4">
        <v>0</v>
      </c>
      <c r="J28" s="4">
        <v>0</v>
      </c>
      <c r="L28" s="10">
        <f t="shared" si="0"/>
        <v>0</v>
      </c>
      <c r="M28" s="18">
        <v>0</v>
      </c>
      <c r="N28" s="10">
        <f t="shared" si="1"/>
        <v>0</v>
      </c>
      <c r="O28" s="10">
        <f t="shared" si="1"/>
        <v>0</v>
      </c>
      <c r="P28" s="10">
        <f t="shared" si="2"/>
        <v>0</v>
      </c>
      <c r="Q28" s="10" t="str">
        <f t="shared" si="3"/>
        <v>☆</v>
      </c>
    </row>
    <row r="29" spans="1:17" ht="20" thickBot="1" x14ac:dyDescent="0.3">
      <c r="A29" s="4" t="s">
        <v>483</v>
      </c>
      <c r="B29" s="4" t="s">
        <v>29</v>
      </c>
      <c r="C29" s="4" t="s">
        <v>476</v>
      </c>
      <c r="D29" s="4" t="s">
        <v>50</v>
      </c>
      <c r="E29" s="4">
        <v>23</v>
      </c>
      <c r="F29" s="4">
        <v>441.00000000000006</v>
      </c>
      <c r="G29" s="4">
        <v>127</v>
      </c>
      <c r="H29" s="5">
        <v>0.82499999999999996</v>
      </c>
      <c r="I29" s="4">
        <v>0</v>
      </c>
      <c r="J29" s="4">
        <v>2</v>
      </c>
      <c r="L29" s="10">
        <f t="shared" si="0"/>
        <v>0</v>
      </c>
      <c r="M29" s="18">
        <v>0</v>
      </c>
      <c r="N29" s="10">
        <f t="shared" si="1"/>
        <v>0</v>
      </c>
      <c r="O29" s="10">
        <f t="shared" si="1"/>
        <v>0</v>
      </c>
      <c r="P29" s="10">
        <f t="shared" si="2"/>
        <v>0</v>
      </c>
      <c r="Q29" s="10" t="str">
        <f t="shared" si="3"/>
        <v>☆</v>
      </c>
    </row>
    <row r="30" spans="1:17" ht="20" thickBot="1" x14ac:dyDescent="0.3">
      <c r="A30" s="4" t="s">
        <v>168</v>
      </c>
      <c r="B30" s="4" t="s">
        <v>29</v>
      </c>
      <c r="C30" s="4" t="s">
        <v>116</v>
      </c>
      <c r="D30" s="4" t="s">
        <v>18</v>
      </c>
      <c r="E30" s="4">
        <v>19</v>
      </c>
      <c r="F30" s="4">
        <v>0</v>
      </c>
      <c r="G30" s="4">
        <v>0</v>
      </c>
      <c r="H30" s="11" t="s">
        <v>129</v>
      </c>
      <c r="I30" s="4">
        <v>0</v>
      </c>
      <c r="J30" s="4">
        <v>0</v>
      </c>
      <c r="L30" s="10">
        <f t="shared" si="0"/>
        <v>0</v>
      </c>
      <c r="M30" s="18">
        <v>0</v>
      </c>
      <c r="N30" s="10">
        <f t="shared" si="1"/>
        <v>0</v>
      </c>
      <c r="O30" s="10">
        <f t="shared" si="1"/>
        <v>0</v>
      </c>
      <c r="P30" s="10">
        <f t="shared" si="2"/>
        <v>0</v>
      </c>
      <c r="Q30" s="10" t="str">
        <f t="shared" si="3"/>
        <v>☆</v>
      </c>
    </row>
    <row r="31" spans="1:17" ht="20" thickBot="1" x14ac:dyDescent="0.3">
      <c r="A31" s="4" t="s">
        <v>170</v>
      </c>
      <c r="B31" s="4" t="s">
        <v>83</v>
      </c>
      <c r="C31" s="4" t="s">
        <v>171</v>
      </c>
      <c r="D31" s="4" t="s">
        <v>81</v>
      </c>
      <c r="E31" s="4">
        <v>21</v>
      </c>
      <c r="F31" s="4">
        <v>206.99999999999997</v>
      </c>
      <c r="G31" s="4">
        <v>72</v>
      </c>
      <c r="H31" s="5">
        <v>0.66700000000000004</v>
      </c>
      <c r="I31" s="4">
        <v>3</v>
      </c>
      <c r="J31" s="4">
        <v>5</v>
      </c>
      <c r="L31" s="10">
        <f t="shared" si="0"/>
        <v>0</v>
      </c>
      <c r="M31" s="18">
        <v>0</v>
      </c>
      <c r="N31" s="10">
        <f t="shared" si="1"/>
        <v>0.5</v>
      </c>
      <c r="O31" s="10">
        <f t="shared" si="1"/>
        <v>0</v>
      </c>
      <c r="P31" s="10">
        <f t="shared" si="2"/>
        <v>0.5</v>
      </c>
      <c r="Q31" s="10" t="str">
        <f t="shared" si="3"/>
        <v>☆½</v>
      </c>
    </row>
    <row r="32" spans="1:17" ht="20" thickBot="1" x14ac:dyDescent="0.3">
      <c r="A32" s="4" t="s">
        <v>172</v>
      </c>
      <c r="B32" s="4" t="s">
        <v>29</v>
      </c>
      <c r="C32" s="4" t="s">
        <v>171</v>
      </c>
      <c r="D32" s="4" t="s">
        <v>87</v>
      </c>
      <c r="E32" s="4">
        <v>23</v>
      </c>
      <c r="F32" s="4">
        <v>288</v>
      </c>
      <c r="G32" s="4">
        <v>129</v>
      </c>
      <c r="H32" s="5">
        <v>0.81599999999999995</v>
      </c>
      <c r="I32" s="4">
        <v>0</v>
      </c>
      <c r="J32" s="4">
        <v>0</v>
      </c>
      <c r="L32" s="10">
        <f t="shared" si="0"/>
        <v>0</v>
      </c>
      <c r="M32" s="18">
        <v>0</v>
      </c>
      <c r="N32" s="10">
        <f t="shared" si="1"/>
        <v>0</v>
      </c>
      <c r="O32" s="10">
        <f t="shared" si="1"/>
        <v>0</v>
      </c>
      <c r="P32" s="10">
        <f t="shared" si="2"/>
        <v>0</v>
      </c>
      <c r="Q32" s="10" t="str">
        <f t="shared" si="3"/>
        <v>☆</v>
      </c>
    </row>
    <row r="33" spans="1:17" ht="20" thickBot="1" x14ac:dyDescent="0.3">
      <c r="A33" s="4" t="s">
        <v>484</v>
      </c>
      <c r="B33" s="4" t="s">
        <v>29</v>
      </c>
      <c r="C33" s="4" t="s">
        <v>471</v>
      </c>
      <c r="D33" s="4" t="s">
        <v>69</v>
      </c>
      <c r="E33" s="4">
        <v>17</v>
      </c>
      <c r="F33" s="4">
        <v>297</v>
      </c>
      <c r="G33" s="4">
        <v>98</v>
      </c>
      <c r="H33" s="5">
        <v>0.81699999999999995</v>
      </c>
      <c r="I33" s="4">
        <v>1</v>
      </c>
      <c r="J33" s="4">
        <v>2</v>
      </c>
      <c r="L33" s="10">
        <f t="shared" si="0"/>
        <v>0</v>
      </c>
      <c r="M33" s="18">
        <v>0</v>
      </c>
      <c r="N33" s="10">
        <f t="shared" si="1"/>
        <v>0</v>
      </c>
      <c r="O33" s="10">
        <f t="shared" si="1"/>
        <v>0</v>
      </c>
      <c r="P33" s="10">
        <f t="shared" si="2"/>
        <v>0</v>
      </c>
      <c r="Q33" s="10" t="str">
        <f t="shared" si="3"/>
        <v>☆</v>
      </c>
    </row>
    <row r="34" spans="1:17" ht="20" thickBot="1" x14ac:dyDescent="0.3">
      <c r="A34" s="4" t="s">
        <v>175</v>
      </c>
      <c r="B34" s="4" t="s">
        <v>29</v>
      </c>
      <c r="C34" s="4" t="s">
        <v>116</v>
      </c>
      <c r="D34" s="4" t="s">
        <v>24</v>
      </c>
      <c r="E34" s="4">
        <v>31</v>
      </c>
      <c r="F34" s="4">
        <v>1620</v>
      </c>
      <c r="G34" s="4">
        <v>461</v>
      </c>
      <c r="H34" s="5">
        <v>0.73599999999999999</v>
      </c>
      <c r="I34" s="4">
        <v>2</v>
      </c>
      <c r="J34" s="4">
        <v>19</v>
      </c>
      <c r="L34" s="10">
        <f t="shared" si="0"/>
        <v>1</v>
      </c>
      <c r="M34" s="18">
        <v>0</v>
      </c>
      <c r="N34" s="10">
        <f t="shared" si="1"/>
        <v>0.5</v>
      </c>
      <c r="O34" s="10">
        <f t="shared" si="1"/>
        <v>1</v>
      </c>
      <c r="P34" s="10">
        <f t="shared" si="2"/>
        <v>2.5</v>
      </c>
      <c r="Q34" s="10" t="str">
        <f t="shared" si="3"/>
        <v>★★½</v>
      </c>
    </row>
    <row r="35" spans="1:17" ht="20" thickBot="1" x14ac:dyDescent="0.3">
      <c r="A35" s="4" t="s">
        <v>181</v>
      </c>
      <c r="B35" s="4" t="s">
        <v>29</v>
      </c>
      <c r="C35" s="4" t="s">
        <v>116</v>
      </c>
      <c r="D35" s="4" t="s">
        <v>53</v>
      </c>
      <c r="E35" s="4">
        <v>32</v>
      </c>
      <c r="F35" s="4">
        <v>1674.0000000000002</v>
      </c>
      <c r="G35" s="4">
        <v>432</v>
      </c>
      <c r="H35" s="5">
        <v>0.754</v>
      </c>
      <c r="I35" s="4">
        <v>1</v>
      </c>
      <c r="J35" s="4">
        <v>5</v>
      </c>
      <c r="L35" s="10">
        <f t="shared" si="0"/>
        <v>1</v>
      </c>
      <c r="M35" s="18">
        <v>0</v>
      </c>
      <c r="N35" s="10">
        <f t="shared" si="1"/>
        <v>0</v>
      </c>
      <c r="O35" s="10">
        <f t="shared" si="1"/>
        <v>0</v>
      </c>
      <c r="P35" s="10">
        <f t="shared" si="2"/>
        <v>1</v>
      </c>
      <c r="Q35" s="10" t="str">
        <f t="shared" si="3"/>
        <v>★</v>
      </c>
    </row>
    <row r="36" spans="1:17" ht="20" thickBot="1" x14ac:dyDescent="0.3">
      <c r="A36" s="4" t="s">
        <v>485</v>
      </c>
      <c r="B36" s="4" t="s">
        <v>133</v>
      </c>
      <c r="C36" s="4" t="s">
        <v>476</v>
      </c>
      <c r="D36" s="4" t="s">
        <v>53</v>
      </c>
      <c r="E36" s="4">
        <v>24</v>
      </c>
      <c r="F36" s="4">
        <v>1764.0000000000002</v>
      </c>
      <c r="G36" s="4">
        <v>285</v>
      </c>
      <c r="H36" s="5">
        <v>0.65700000000000003</v>
      </c>
      <c r="I36" s="4">
        <v>10</v>
      </c>
      <c r="J36" s="4">
        <v>14</v>
      </c>
      <c r="L36" s="10">
        <f t="shared" si="0"/>
        <v>1</v>
      </c>
      <c r="M36" s="18">
        <v>0</v>
      </c>
      <c r="N36" s="10">
        <f t="shared" si="1"/>
        <v>1</v>
      </c>
      <c r="O36" s="10">
        <f t="shared" si="1"/>
        <v>0.5</v>
      </c>
      <c r="P36" s="10">
        <f t="shared" si="2"/>
        <v>2.5</v>
      </c>
      <c r="Q36" s="10" t="str">
        <f t="shared" si="3"/>
        <v>★★½</v>
      </c>
    </row>
    <row r="37" spans="1:17" ht="20" thickBot="1" x14ac:dyDescent="0.3">
      <c r="A37" s="4" t="s">
        <v>182</v>
      </c>
      <c r="B37" s="4" t="s">
        <v>183</v>
      </c>
      <c r="C37" s="4" t="s">
        <v>116</v>
      </c>
      <c r="D37" s="4" t="s">
        <v>58</v>
      </c>
      <c r="E37" s="4">
        <v>27</v>
      </c>
      <c r="F37" s="4">
        <v>18</v>
      </c>
      <c r="G37" s="4">
        <v>4</v>
      </c>
      <c r="H37" s="7">
        <v>1</v>
      </c>
      <c r="I37" s="4">
        <v>0</v>
      </c>
      <c r="J37" s="4">
        <v>0</v>
      </c>
      <c r="L37" s="10">
        <f t="shared" si="0"/>
        <v>0</v>
      </c>
      <c r="M37" s="18">
        <v>0</v>
      </c>
      <c r="N37" s="10">
        <f t="shared" si="1"/>
        <v>0</v>
      </c>
      <c r="O37" s="10">
        <f t="shared" si="1"/>
        <v>0</v>
      </c>
      <c r="P37" s="10">
        <f t="shared" si="2"/>
        <v>0</v>
      </c>
      <c r="Q37" s="10" t="str">
        <f t="shared" si="3"/>
        <v>☆</v>
      </c>
    </row>
    <row r="38" spans="1:17" ht="20" thickBot="1" x14ac:dyDescent="0.3">
      <c r="A38" s="4" t="s">
        <v>486</v>
      </c>
      <c r="B38" s="4" t="s">
        <v>14</v>
      </c>
      <c r="C38" s="4" t="s">
        <v>471</v>
      </c>
      <c r="D38" s="4" t="s">
        <v>69</v>
      </c>
      <c r="E38" s="4">
        <v>29</v>
      </c>
      <c r="F38" s="4">
        <v>1332</v>
      </c>
      <c r="G38" s="4">
        <v>527</v>
      </c>
      <c r="H38" s="5">
        <v>0.82199999999999995</v>
      </c>
      <c r="I38" s="4">
        <v>8</v>
      </c>
      <c r="J38" s="4">
        <v>25</v>
      </c>
      <c r="L38" s="10">
        <f t="shared" si="0"/>
        <v>1</v>
      </c>
      <c r="M38" s="18">
        <v>1</v>
      </c>
      <c r="N38" s="10">
        <f t="shared" si="1"/>
        <v>1</v>
      </c>
      <c r="O38" s="10">
        <f t="shared" si="1"/>
        <v>1</v>
      </c>
      <c r="P38" s="10">
        <f t="shared" si="2"/>
        <v>4</v>
      </c>
      <c r="Q38" s="10" t="str">
        <f t="shared" si="3"/>
        <v>★★★★</v>
      </c>
    </row>
    <row r="39" spans="1:17" ht="20" thickBot="1" x14ac:dyDescent="0.3">
      <c r="A39" s="4" t="s">
        <v>487</v>
      </c>
      <c r="B39" s="4" t="s">
        <v>122</v>
      </c>
      <c r="C39" s="4" t="s">
        <v>476</v>
      </c>
      <c r="D39" s="4" t="s">
        <v>24</v>
      </c>
      <c r="E39" s="4">
        <v>22</v>
      </c>
      <c r="F39" s="4">
        <v>1143</v>
      </c>
      <c r="G39" s="4">
        <v>254</v>
      </c>
      <c r="H39" s="5">
        <v>0.64500000000000002</v>
      </c>
      <c r="I39" s="4">
        <v>7</v>
      </c>
      <c r="J39" s="4">
        <v>19</v>
      </c>
      <c r="L39" s="10">
        <f t="shared" si="0"/>
        <v>0</v>
      </c>
      <c r="M39" s="18">
        <v>0</v>
      </c>
      <c r="N39" s="10">
        <f t="shared" si="1"/>
        <v>1</v>
      </c>
      <c r="O39" s="10">
        <f t="shared" si="1"/>
        <v>1</v>
      </c>
      <c r="P39" s="10">
        <f t="shared" si="2"/>
        <v>2</v>
      </c>
      <c r="Q39" s="10" t="str">
        <f t="shared" si="3"/>
        <v>★★</v>
      </c>
    </row>
    <row r="40" spans="1:17" ht="20" thickBot="1" x14ac:dyDescent="0.3">
      <c r="A40" s="4" t="s">
        <v>189</v>
      </c>
      <c r="B40" s="4" t="s">
        <v>29</v>
      </c>
      <c r="C40" s="4" t="s">
        <v>116</v>
      </c>
      <c r="D40" s="4" t="s">
        <v>81</v>
      </c>
      <c r="E40" s="4">
        <v>19</v>
      </c>
      <c r="F40" s="4">
        <v>180</v>
      </c>
      <c r="G40" s="4">
        <v>96</v>
      </c>
      <c r="H40" s="5">
        <v>0.90600000000000003</v>
      </c>
      <c r="I40" s="4">
        <v>0</v>
      </c>
      <c r="J40" s="4">
        <v>2</v>
      </c>
      <c r="L40" s="10">
        <f t="shared" si="0"/>
        <v>0</v>
      </c>
      <c r="M40" s="18">
        <v>0</v>
      </c>
      <c r="N40" s="10">
        <f t="shared" si="1"/>
        <v>0</v>
      </c>
      <c r="O40" s="10">
        <f t="shared" si="1"/>
        <v>0</v>
      </c>
      <c r="P40" s="10">
        <f t="shared" si="2"/>
        <v>0</v>
      </c>
      <c r="Q40" s="10" t="str">
        <f t="shared" si="3"/>
        <v>☆</v>
      </c>
    </row>
    <row r="41" spans="1:17" ht="20" thickBot="1" x14ac:dyDescent="0.3">
      <c r="A41" s="4" t="s">
        <v>190</v>
      </c>
      <c r="B41" s="4" t="s">
        <v>165</v>
      </c>
      <c r="C41" s="4" t="s">
        <v>171</v>
      </c>
      <c r="D41" s="4" t="s">
        <v>58</v>
      </c>
      <c r="E41" s="4">
        <v>30</v>
      </c>
      <c r="F41" s="4">
        <v>2916</v>
      </c>
      <c r="G41" s="4">
        <v>1312</v>
      </c>
      <c r="H41" s="5">
        <v>0.78800000000000003</v>
      </c>
      <c r="I41" s="4">
        <v>2</v>
      </c>
      <c r="J41" s="4">
        <v>34</v>
      </c>
      <c r="L41" s="10">
        <f t="shared" si="0"/>
        <v>1</v>
      </c>
      <c r="M41" s="18">
        <v>0</v>
      </c>
      <c r="N41" s="10">
        <f t="shared" si="1"/>
        <v>0.5</v>
      </c>
      <c r="O41" s="10">
        <f t="shared" si="1"/>
        <v>1</v>
      </c>
      <c r="P41" s="10">
        <f t="shared" si="2"/>
        <v>2.5</v>
      </c>
      <c r="Q41" s="10" t="str">
        <f t="shared" si="3"/>
        <v>★★½</v>
      </c>
    </row>
    <row r="42" spans="1:17" ht="20" thickBot="1" x14ac:dyDescent="0.3">
      <c r="A42" s="4" t="s">
        <v>488</v>
      </c>
      <c r="B42" s="4" t="s">
        <v>29</v>
      </c>
      <c r="C42" s="4" t="s">
        <v>471</v>
      </c>
      <c r="D42" s="4" t="s">
        <v>43</v>
      </c>
      <c r="E42" s="4">
        <v>22</v>
      </c>
      <c r="F42" s="4">
        <v>261</v>
      </c>
      <c r="G42" s="4">
        <v>71</v>
      </c>
      <c r="H42" s="5">
        <v>0.80700000000000005</v>
      </c>
      <c r="I42" s="4">
        <v>0</v>
      </c>
      <c r="J42" s="4">
        <v>2</v>
      </c>
      <c r="L42" s="10">
        <f t="shared" si="0"/>
        <v>0</v>
      </c>
      <c r="M42" s="18">
        <v>0</v>
      </c>
      <c r="N42" s="10">
        <f t="shared" si="1"/>
        <v>0</v>
      </c>
      <c r="O42" s="10">
        <f t="shared" si="1"/>
        <v>0</v>
      </c>
      <c r="P42" s="10">
        <f t="shared" si="2"/>
        <v>0</v>
      </c>
      <c r="Q42" s="10" t="str">
        <f t="shared" si="3"/>
        <v>☆</v>
      </c>
    </row>
    <row r="43" spans="1:17" ht="20" thickBot="1" x14ac:dyDescent="0.3">
      <c r="A43" s="4" t="s">
        <v>193</v>
      </c>
      <c r="B43" s="4" t="s">
        <v>29</v>
      </c>
      <c r="C43" s="4" t="s">
        <v>116</v>
      </c>
      <c r="D43" s="4" t="s">
        <v>27</v>
      </c>
      <c r="E43" s="4">
        <v>23</v>
      </c>
      <c r="F43" s="4">
        <v>234</v>
      </c>
      <c r="G43" s="4">
        <v>60</v>
      </c>
      <c r="H43" s="5">
        <v>0.75900000000000001</v>
      </c>
      <c r="I43" s="4">
        <v>1</v>
      </c>
      <c r="J43" s="4">
        <v>0</v>
      </c>
      <c r="L43" s="10">
        <f t="shared" si="0"/>
        <v>0</v>
      </c>
      <c r="M43" s="18">
        <v>0</v>
      </c>
      <c r="N43" s="10">
        <f t="shared" si="1"/>
        <v>0</v>
      </c>
      <c r="O43" s="10">
        <f t="shared" si="1"/>
        <v>0</v>
      </c>
      <c r="P43" s="10">
        <f t="shared" si="2"/>
        <v>0</v>
      </c>
      <c r="Q43" s="10" t="str">
        <f t="shared" si="3"/>
        <v>☆</v>
      </c>
    </row>
    <row r="44" spans="1:17" ht="20" thickBot="1" x14ac:dyDescent="0.3">
      <c r="A44" s="4" t="s">
        <v>195</v>
      </c>
      <c r="B44" s="4" t="s">
        <v>162</v>
      </c>
      <c r="C44" s="4" t="s">
        <v>116</v>
      </c>
      <c r="D44" s="4" t="s">
        <v>39</v>
      </c>
      <c r="E44" s="4">
        <v>30</v>
      </c>
      <c r="F44" s="4">
        <v>2205</v>
      </c>
      <c r="G44" s="4">
        <v>1172</v>
      </c>
      <c r="H44" s="5">
        <v>0.755</v>
      </c>
      <c r="I44" s="4">
        <v>23</v>
      </c>
      <c r="J44" s="4">
        <v>88</v>
      </c>
      <c r="L44" s="10">
        <f t="shared" si="0"/>
        <v>1</v>
      </c>
      <c r="M44" s="18">
        <v>0</v>
      </c>
      <c r="N44" s="10">
        <f t="shared" si="1"/>
        <v>1</v>
      </c>
      <c r="O44" s="10">
        <f t="shared" si="1"/>
        <v>1</v>
      </c>
      <c r="P44" s="10">
        <f t="shared" si="2"/>
        <v>3</v>
      </c>
      <c r="Q44" s="10" t="str">
        <f t="shared" si="3"/>
        <v>★★★</v>
      </c>
    </row>
    <row r="45" spans="1:17" ht="20" thickBot="1" x14ac:dyDescent="0.3">
      <c r="A45" s="4" t="s">
        <v>196</v>
      </c>
      <c r="B45" s="4" t="s">
        <v>29</v>
      </c>
      <c r="C45" s="4" t="s">
        <v>116</v>
      </c>
      <c r="D45" s="4" t="s">
        <v>27</v>
      </c>
      <c r="E45" s="4">
        <v>31</v>
      </c>
      <c r="F45" s="4">
        <v>666</v>
      </c>
      <c r="G45" s="4">
        <v>263</v>
      </c>
      <c r="H45" s="5">
        <v>0.85399999999999998</v>
      </c>
      <c r="I45" s="4">
        <v>0</v>
      </c>
      <c r="J45" s="4">
        <v>3</v>
      </c>
      <c r="L45" s="10">
        <f t="shared" si="0"/>
        <v>0</v>
      </c>
      <c r="M45" s="18">
        <v>0</v>
      </c>
      <c r="N45" s="10">
        <f t="shared" si="1"/>
        <v>0</v>
      </c>
      <c r="O45" s="10">
        <f t="shared" si="1"/>
        <v>0</v>
      </c>
      <c r="P45" s="10">
        <f t="shared" si="2"/>
        <v>0</v>
      </c>
      <c r="Q45" s="10" t="str">
        <f t="shared" si="3"/>
        <v>☆</v>
      </c>
    </row>
    <row r="46" spans="1:17" ht="20" thickBot="1" x14ac:dyDescent="0.3">
      <c r="A46" s="4" t="s">
        <v>197</v>
      </c>
      <c r="B46" s="4" t="s">
        <v>162</v>
      </c>
      <c r="C46" s="4" t="s">
        <v>116</v>
      </c>
      <c r="D46" s="4" t="s">
        <v>81</v>
      </c>
      <c r="E46" s="4">
        <v>26</v>
      </c>
      <c r="F46" s="4">
        <v>1953</v>
      </c>
      <c r="G46" s="4">
        <v>709</v>
      </c>
      <c r="H46" s="5">
        <v>0.873</v>
      </c>
      <c r="I46" s="4">
        <v>4</v>
      </c>
      <c r="J46" s="4">
        <v>11</v>
      </c>
      <c r="L46" s="10">
        <f t="shared" si="0"/>
        <v>1</v>
      </c>
      <c r="M46" s="18">
        <v>1</v>
      </c>
      <c r="N46" s="10">
        <f t="shared" si="1"/>
        <v>1</v>
      </c>
      <c r="O46" s="10">
        <f t="shared" si="1"/>
        <v>0</v>
      </c>
      <c r="P46" s="10">
        <f t="shared" si="2"/>
        <v>3</v>
      </c>
      <c r="Q46" s="10" t="str">
        <f t="shared" si="3"/>
        <v>★★★</v>
      </c>
    </row>
    <row r="47" spans="1:17" ht="20" thickBot="1" x14ac:dyDescent="0.3">
      <c r="A47" s="4" t="s">
        <v>489</v>
      </c>
      <c r="B47" s="4" t="s">
        <v>219</v>
      </c>
      <c r="C47" s="4" t="s">
        <v>476</v>
      </c>
      <c r="D47" s="4" t="s">
        <v>24</v>
      </c>
      <c r="E47" s="4">
        <v>23</v>
      </c>
      <c r="F47" s="4">
        <v>2583</v>
      </c>
      <c r="G47" s="4">
        <v>431</v>
      </c>
      <c r="H47" s="5">
        <v>0.68100000000000005</v>
      </c>
      <c r="I47" s="4">
        <v>16</v>
      </c>
      <c r="J47" s="4">
        <v>33</v>
      </c>
      <c r="L47" s="10">
        <f t="shared" si="0"/>
        <v>1</v>
      </c>
      <c r="M47" s="18">
        <v>0</v>
      </c>
      <c r="N47" s="10">
        <f t="shared" si="1"/>
        <v>1</v>
      </c>
      <c r="O47" s="10">
        <f t="shared" si="1"/>
        <v>1</v>
      </c>
      <c r="P47" s="10">
        <f t="shared" si="2"/>
        <v>3</v>
      </c>
      <c r="Q47" s="10" t="str">
        <f t="shared" si="3"/>
        <v>★★★</v>
      </c>
    </row>
    <row r="48" spans="1:17" ht="20" thickBot="1" x14ac:dyDescent="0.3">
      <c r="A48" s="4" t="s">
        <v>198</v>
      </c>
      <c r="B48" s="4" t="s">
        <v>29</v>
      </c>
      <c r="C48" s="4" t="s">
        <v>116</v>
      </c>
      <c r="D48" s="4" t="s">
        <v>87</v>
      </c>
      <c r="E48" s="4">
        <v>22</v>
      </c>
      <c r="F48" s="4">
        <v>2106</v>
      </c>
      <c r="G48" s="4">
        <v>941</v>
      </c>
      <c r="H48" s="5">
        <v>0.77100000000000002</v>
      </c>
      <c r="I48" s="4">
        <v>3</v>
      </c>
      <c r="J48" s="4">
        <v>34</v>
      </c>
      <c r="L48" s="10">
        <f t="shared" si="0"/>
        <v>1</v>
      </c>
      <c r="M48" s="18">
        <v>0</v>
      </c>
      <c r="N48" s="10">
        <f t="shared" si="1"/>
        <v>0.5</v>
      </c>
      <c r="O48" s="10">
        <f t="shared" si="1"/>
        <v>1</v>
      </c>
      <c r="P48" s="10">
        <f t="shared" si="2"/>
        <v>2.5</v>
      </c>
      <c r="Q48" s="10" t="str">
        <f t="shared" si="3"/>
        <v>★★½</v>
      </c>
    </row>
    <row r="49" spans="1:17" ht="20" thickBot="1" x14ac:dyDescent="0.3">
      <c r="A49" s="4" t="s">
        <v>199</v>
      </c>
      <c r="B49" s="4" t="s">
        <v>17</v>
      </c>
      <c r="C49" s="4" t="s">
        <v>116</v>
      </c>
      <c r="D49" s="4" t="s">
        <v>33</v>
      </c>
      <c r="E49" s="4">
        <v>22</v>
      </c>
      <c r="F49" s="4">
        <v>1026</v>
      </c>
      <c r="G49" s="4">
        <v>357</v>
      </c>
      <c r="H49" s="5">
        <v>0.81499999999999995</v>
      </c>
      <c r="I49" s="4">
        <v>2</v>
      </c>
      <c r="J49" s="4">
        <v>15</v>
      </c>
      <c r="L49" s="10">
        <f t="shared" si="0"/>
        <v>0</v>
      </c>
      <c r="M49" s="18">
        <v>0</v>
      </c>
      <c r="N49" s="10">
        <f t="shared" si="1"/>
        <v>0.5</v>
      </c>
      <c r="O49" s="10">
        <f t="shared" si="1"/>
        <v>0.5</v>
      </c>
      <c r="P49" s="10">
        <f t="shared" si="2"/>
        <v>1</v>
      </c>
      <c r="Q49" s="10" t="str">
        <f t="shared" si="3"/>
        <v>★</v>
      </c>
    </row>
    <row r="50" spans="1:17" ht="20" thickBot="1" x14ac:dyDescent="0.3">
      <c r="A50" s="4" t="s">
        <v>204</v>
      </c>
      <c r="B50" s="4" t="s">
        <v>148</v>
      </c>
      <c r="C50" s="4" t="s">
        <v>116</v>
      </c>
      <c r="D50" s="4" t="s">
        <v>33</v>
      </c>
      <c r="E50" s="4">
        <v>23</v>
      </c>
      <c r="F50" s="4">
        <v>458.99999999999994</v>
      </c>
      <c r="G50" s="4">
        <v>111</v>
      </c>
      <c r="H50" s="5">
        <v>0.745</v>
      </c>
      <c r="I50" s="4">
        <v>0</v>
      </c>
      <c r="J50" s="4">
        <v>6</v>
      </c>
      <c r="L50" s="10">
        <f t="shared" si="0"/>
        <v>0</v>
      </c>
      <c r="M50" s="18">
        <v>0</v>
      </c>
      <c r="N50" s="10">
        <f t="shared" si="1"/>
        <v>0</v>
      </c>
      <c r="O50" s="10">
        <f t="shared" si="1"/>
        <v>0</v>
      </c>
      <c r="P50" s="10">
        <f t="shared" si="2"/>
        <v>0</v>
      </c>
      <c r="Q50" s="10" t="str">
        <f t="shared" si="3"/>
        <v>☆</v>
      </c>
    </row>
    <row r="51" spans="1:17" ht="20" thickBot="1" x14ac:dyDescent="0.3">
      <c r="A51" s="4" t="s">
        <v>490</v>
      </c>
      <c r="B51" s="4" t="s">
        <v>29</v>
      </c>
      <c r="C51" s="4" t="s">
        <v>476</v>
      </c>
      <c r="D51" s="4" t="s">
        <v>27</v>
      </c>
      <c r="E51" s="4">
        <v>18</v>
      </c>
      <c r="F51" s="4">
        <v>36</v>
      </c>
      <c r="G51" s="4">
        <v>4</v>
      </c>
      <c r="H51" s="5">
        <v>0.57099999999999995</v>
      </c>
      <c r="I51" s="4">
        <v>0</v>
      </c>
      <c r="J51" s="4">
        <v>0</v>
      </c>
      <c r="L51" s="10">
        <f t="shared" si="0"/>
        <v>0</v>
      </c>
      <c r="M51" s="18">
        <v>0</v>
      </c>
      <c r="N51" s="10">
        <f t="shared" si="1"/>
        <v>0</v>
      </c>
      <c r="O51" s="10">
        <f t="shared" si="1"/>
        <v>0</v>
      </c>
      <c r="P51" s="10">
        <f t="shared" si="2"/>
        <v>0</v>
      </c>
      <c r="Q51" s="10" t="str">
        <f t="shared" si="3"/>
        <v>☆</v>
      </c>
    </row>
    <row r="52" spans="1:17" ht="20" thickBot="1" x14ac:dyDescent="0.3">
      <c r="A52" s="4" t="s">
        <v>207</v>
      </c>
      <c r="B52" s="4" t="s">
        <v>148</v>
      </c>
      <c r="C52" s="4" t="s">
        <v>116</v>
      </c>
      <c r="D52" s="4" t="s">
        <v>27</v>
      </c>
      <c r="E52" s="4">
        <v>28</v>
      </c>
      <c r="F52" s="4">
        <v>2538</v>
      </c>
      <c r="G52" s="4">
        <v>877</v>
      </c>
      <c r="H52" s="5">
        <v>0.80100000000000005</v>
      </c>
      <c r="I52" s="4">
        <v>6</v>
      </c>
      <c r="J52" s="4">
        <v>21</v>
      </c>
      <c r="L52" s="10">
        <f t="shared" si="0"/>
        <v>1</v>
      </c>
      <c r="M52" s="18">
        <v>1</v>
      </c>
      <c r="N52" s="10">
        <f t="shared" si="1"/>
        <v>1</v>
      </c>
      <c r="O52" s="10">
        <f t="shared" si="1"/>
        <v>1</v>
      </c>
      <c r="P52" s="10">
        <f t="shared" si="2"/>
        <v>4</v>
      </c>
      <c r="Q52" s="10" t="str">
        <f t="shared" si="3"/>
        <v>★★★★</v>
      </c>
    </row>
    <row r="53" spans="1:17" ht="20" thickBot="1" x14ac:dyDescent="0.3">
      <c r="A53" s="4" t="s">
        <v>491</v>
      </c>
      <c r="B53" s="4" t="s">
        <v>29</v>
      </c>
      <c r="C53" s="4" t="s">
        <v>476</v>
      </c>
      <c r="D53" s="4" t="s">
        <v>50</v>
      </c>
      <c r="E53" s="4">
        <v>23</v>
      </c>
      <c r="F53" s="4">
        <v>909</v>
      </c>
      <c r="G53" s="4">
        <v>235</v>
      </c>
      <c r="H53" s="5">
        <v>0.68700000000000006</v>
      </c>
      <c r="I53" s="4">
        <v>2</v>
      </c>
      <c r="J53" s="4">
        <v>16</v>
      </c>
      <c r="L53" s="10">
        <f t="shared" si="0"/>
        <v>0</v>
      </c>
      <c r="M53" s="18">
        <v>0</v>
      </c>
      <c r="N53" s="10">
        <f t="shared" si="1"/>
        <v>0.5</v>
      </c>
      <c r="O53" s="10">
        <f t="shared" si="1"/>
        <v>0.5</v>
      </c>
      <c r="P53" s="10">
        <f t="shared" si="2"/>
        <v>1</v>
      </c>
      <c r="Q53" s="10" t="str">
        <f t="shared" si="3"/>
        <v>★</v>
      </c>
    </row>
    <row r="54" spans="1:17" ht="20" thickBot="1" x14ac:dyDescent="0.3">
      <c r="A54" s="4" t="s">
        <v>213</v>
      </c>
      <c r="B54" s="4" t="s">
        <v>29</v>
      </c>
      <c r="C54" s="4" t="s">
        <v>116</v>
      </c>
      <c r="D54" s="4" t="s">
        <v>15</v>
      </c>
      <c r="E54" s="4">
        <v>18</v>
      </c>
      <c r="F54" s="4">
        <v>342</v>
      </c>
      <c r="G54" s="4">
        <v>210</v>
      </c>
      <c r="H54" s="5">
        <v>0.84299999999999997</v>
      </c>
      <c r="I54" s="4">
        <v>0</v>
      </c>
      <c r="J54" s="4">
        <v>8</v>
      </c>
      <c r="L54" s="10">
        <f t="shared" si="0"/>
        <v>0</v>
      </c>
      <c r="M54" s="18">
        <v>0</v>
      </c>
      <c r="N54" s="10">
        <f t="shared" si="1"/>
        <v>0</v>
      </c>
      <c r="O54" s="10">
        <f t="shared" si="1"/>
        <v>0</v>
      </c>
      <c r="P54" s="10">
        <f t="shared" si="2"/>
        <v>0</v>
      </c>
      <c r="Q54" s="10" t="str">
        <f t="shared" si="3"/>
        <v>☆</v>
      </c>
    </row>
    <row r="55" spans="1:17" ht="20" thickBot="1" x14ac:dyDescent="0.3">
      <c r="A55" s="4" t="s">
        <v>214</v>
      </c>
      <c r="B55" s="4" t="s">
        <v>215</v>
      </c>
      <c r="C55" s="4" t="s">
        <v>116</v>
      </c>
      <c r="D55" s="4" t="s">
        <v>63</v>
      </c>
      <c r="E55" s="4">
        <v>29</v>
      </c>
      <c r="F55" s="4">
        <v>810</v>
      </c>
      <c r="G55" s="4">
        <v>518</v>
      </c>
      <c r="H55" s="5">
        <v>0.93500000000000005</v>
      </c>
      <c r="I55" s="4">
        <v>2</v>
      </c>
      <c r="J55" s="4">
        <v>9</v>
      </c>
      <c r="L55" s="10">
        <f t="shared" si="0"/>
        <v>0</v>
      </c>
      <c r="M55" s="18">
        <v>1</v>
      </c>
      <c r="N55" s="10">
        <f t="shared" si="1"/>
        <v>0.5</v>
      </c>
      <c r="O55" s="10">
        <f t="shared" si="1"/>
        <v>0</v>
      </c>
      <c r="P55" s="10">
        <f t="shared" si="2"/>
        <v>1.5</v>
      </c>
      <c r="Q55" s="10" t="str">
        <f t="shared" si="3"/>
        <v>★½</v>
      </c>
    </row>
    <row r="56" spans="1:17" ht="20" thickBot="1" x14ac:dyDescent="0.3">
      <c r="A56" s="4" t="s">
        <v>492</v>
      </c>
      <c r="B56" s="4" t="s">
        <v>57</v>
      </c>
      <c r="C56" s="4" t="s">
        <v>471</v>
      </c>
      <c r="D56" s="4" t="s">
        <v>33</v>
      </c>
      <c r="E56" s="4">
        <v>26</v>
      </c>
      <c r="F56" s="4">
        <v>2043</v>
      </c>
      <c r="G56" s="4">
        <v>451</v>
      </c>
      <c r="H56" s="5">
        <v>0.70599999999999996</v>
      </c>
      <c r="I56" s="4">
        <v>6</v>
      </c>
      <c r="J56" s="4">
        <v>29</v>
      </c>
      <c r="L56" s="10">
        <f t="shared" si="0"/>
        <v>1</v>
      </c>
      <c r="M56" s="18">
        <v>0</v>
      </c>
      <c r="N56" s="10">
        <f t="shared" si="1"/>
        <v>1</v>
      </c>
      <c r="O56" s="10">
        <f t="shared" si="1"/>
        <v>1</v>
      </c>
      <c r="P56" s="10">
        <f t="shared" si="2"/>
        <v>3</v>
      </c>
      <c r="Q56" s="10" t="str">
        <f t="shared" si="3"/>
        <v>★★★</v>
      </c>
    </row>
    <row r="57" spans="1:17" ht="20" thickBot="1" x14ac:dyDescent="0.3">
      <c r="A57" s="4" t="s">
        <v>217</v>
      </c>
      <c r="B57" s="4" t="s">
        <v>67</v>
      </c>
      <c r="C57" s="4" t="s">
        <v>116</v>
      </c>
      <c r="D57" s="4" t="s">
        <v>43</v>
      </c>
      <c r="E57" s="4">
        <v>29</v>
      </c>
      <c r="F57" s="4">
        <v>936</v>
      </c>
      <c r="G57" s="4">
        <v>472</v>
      </c>
      <c r="H57" s="5">
        <v>0.74399999999999999</v>
      </c>
      <c r="I57" s="4">
        <v>5</v>
      </c>
      <c r="J57" s="4">
        <v>32</v>
      </c>
      <c r="L57" s="10">
        <f t="shared" si="0"/>
        <v>0</v>
      </c>
      <c r="M57" s="18">
        <v>0</v>
      </c>
      <c r="N57" s="10">
        <f t="shared" si="1"/>
        <v>1</v>
      </c>
      <c r="O57" s="10">
        <f t="shared" si="1"/>
        <v>1</v>
      </c>
      <c r="P57" s="10">
        <f t="shared" si="2"/>
        <v>2</v>
      </c>
      <c r="Q57" s="10" t="str">
        <f t="shared" si="3"/>
        <v>★★</v>
      </c>
    </row>
    <row r="58" spans="1:17" ht="20" thickBot="1" x14ac:dyDescent="0.3">
      <c r="A58" s="4" t="s">
        <v>218</v>
      </c>
      <c r="B58" s="4" t="s">
        <v>219</v>
      </c>
      <c r="C58" s="4" t="s">
        <v>116</v>
      </c>
      <c r="D58" s="4" t="s">
        <v>24</v>
      </c>
      <c r="E58" s="4">
        <v>25</v>
      </c>
      <c r="F58" s="4">
        <v>405</v>
      </c>
      <c r="G58" s="4">
        <v>141</v>
      </c>
      <c r="H58" s="5">
        <v>0.89800000000000002</v>
      </c>
      <c r="I58" s="4">
        <v>0</v>
      </c>
      <c r="J58" s="4">
        <v>2</v>
      </c>
      <c r="L58" s="10">
        <f t="shared" si="0"/>
        <v>0</v>
      </c>
      <c r="M58" s="18">
        <v>0</v>
      </c>
      <c r="N58" s="10">
        <f t="shared" si="1"/>
        <v>0</v>
      </c>
      <c r="O58" s="10">
        <f t="shared" si="1"/>
        <v>0</v>
      </c>
      <c r="P58" s="10">
        <f t="shared" si="2"/>
        <v>0</v>
      </c>
      <c r="Q58" s="10" t="str">
        <f t="shared" si="3"/>
        <v>☆</v>
      </c>
    </row>
    <row r="59" spans="1:17" ht="20" thickBot="1" x14ac:dyDescent="0.3">
      <c r="A59" s="4" t="s">
        <v>493</v>
      </c>
      <c r="B59" s="4" t="s">
        <v>29</v>
      </c>
      <c r="C59" s="4" t="s">
        <v>471</v>
      </c>
      <c r="D59" s="4" t="s">
        <v>30</v>
      </c>
      <c r="E59" s="4">
        <v>23</v>
      </c>
      <c r="F59" s="4">
        <v>603</v>
      </c>
      <c r="G59" s="4">
        <v>234</v>
      </c>
      <c r="H59" s="5">
        <v>0.76700000000000002</v>
      </c>
      <c r="I59" s="4">
        <v>2</v>
      </c>
      <c r="J59" s="4">
        <v>9</v>
      </c>
      <c r="L59" s="10">
        <f t="shared" si="0"/>
        <v>0</v>
      </c>
      <c r="M59" s="18">
        <v>0</v>
      </c>
      <c r="N59" s="10">
        <f t="shared" si="1"/>
        <v>0.5</v>
      </c>
      <c r="O59" s="10">
        <f t="shared" si="1"/>
        <v>0</v>
      </c>
      <c r="P59" s="10">
        <f t="shared" si="2"/>
        <v>0.5</v>
      </c>
      <c r="Q59" s="10" t="str">
        <f t="shared" si="3"/>
        <v>☆½</v>
      </c>
    </row>
    <row r="60" spans="1:17" ht="20" thickBot="1" x14ac:dyDescent="0.3">
      <c r="A60" s="4" t="s">
        <v>221</v>
      </c>
      <c r="B60" s="4" t="s">
        <v>14</v>
      </c>
      <c r="C60" s="4" t="s">
        <v>116</v>
      </c>
      <c r="D60" s="4" t="s">
        <v>15</v>
      </c>
      <c r="E60" s="4">
        <v>27</v>
      </c>
      <c r="F60" s="4">
        <v>2313</v>
      </c>
      <c r="G60" s="4">
        <v>1341</v>
      </c>
      <c r="H60" s="5">
        <v>0.88100000000000001</v>
      </c>
      <c r="I60" s="4">
        <v>6</v>
      </c>
      <c r="J60" s="4">
        <v>15</v>
      </c>
      <c r="L60" s="10">
        <f t="shared" si="0"/>
        <v>1</v>
      </c>
      <c r="M60" s="18">
        <v>2</v>
      </c>
      <c r="N60" s="10">
        <f t="shared" si="1"/>
        <v>1</v>
      </c>
      <c r="O60" s="10">
        <f t="shared" si="1"/>
        <v>0.5</v>
      </c>
      <c r="P60" s="10">
        <f t="shared" si="2"/>
        <v>4.5</v>
      </c>
      <c r="Q60" s="10" t="str">
        <f t="shared" si="3"/>
        <v>★★★★½</v>
      </c>
    </row>
    <row r="61" spans="1:17" ht="20" thickBot="1" x14ac:dyDescent="0.3">
      <c r="A61" s="4" t="s">
        <v>223</v>
      </c>
      <c r="B61" s="4" t="s">
        <v>55</v>
      </c>
      <c r="C61" s="4" t="s">
        <v>116</v>
      </c>
      <c r="D61" s="4" t="s">
        <v>85</v>
      </c>
      <c r="E61" s="4">
        <v>16</v>
      </c>
      <c r="F61" s="4">
        <v>27</v>
      </c>
      <c r="G61" s="4">
        <v>6</v>
      </c>
      <c r="H61" s="5">
        <v>0.85699999999999998</v>
      </c>
      <c r="I61" s="4">
        <v>0</v>
      </c>
      <c r="J61" s="4">
        <v>0</v>
      </c>
      <c r="L61" s="10">
        <f t="shared" si="0"/>
        <v>0</v>
      </c>
      <c r="M61" s="18">
        <v>0</v>
      </c>
      <c r="N61" s="10">
        <f t="shared" si="1"/>
        <v>0</v>
      </c>
      <c r="O61" s="10">
        <f t="shared" si="1"/>
        <v>0</v>
      </c>
      <c r="P61" s="10">
        <f t="shared" si="2"/>
        <v>0</v>
      </c>
      <c r="Q61" s="10" t="str">
        <f t="shared" si="3"/>
        <v>☆</v>
      </c>
    </row>
    <row r="62" spans="1:17" ht="20" thickBot="1" x14ac:dyDescent="0.3">
      <c r="A62" s="4" t="s">
        <v>225</v>
      </c>
      <c r="B62" s="4" t="s">
        <v>83</v>
      </c>
      <c r="C62" s="4" t="s">
        <v>116</v>
      </c>
      <c r="D62" s="4" t="s">
        <v>47</v>
      </c>
      <c r="E62" s="4">
        <v>26</v>
      </c>
      <c r="F62" s="4">
        <v>3114</v>
      </c>
      <c r="G62" s="4">
        <v>1524</v>
      </c>
      <c r="H62" s="5">
        <v>0.753</v>
      </c>
      <c r="I62" s="4">
        <v>16</v>
      </c>
      <c r="J62" s="4">
        <v>88</v>
      </c>
      <c r="L62" s="10">
        <f t="shared" si="0"/>
        <v>1</v>
      </c>
      <c r="M62" s="18">
        <v>0</v>
      </c>
      <c r="N62" s="10">
        <f t="shared" si="1"/>
        <v>1</v>
      </c>
      <c r="O62" s="10">
        <f t="shared" si="1"/>
        <v>1</v>
      </c>
      <c r="P62" s="10">
        <f t="shared" si="2"/>
        <v>3</v>
      </c>
      <c r="Q62" s="10" t="str">
        <f t="shared" si="3"/>
        <v>★★★</v>
      </c>
    </row>
    <row r="63" spans="1:17" ht="20" thickBot="1" x14ac:dyDescent="0.3">
      <c r="A63" s="4" t="s">
        <v>227</v>
      </c>
      <c r="B63" s="4" t="s">
        <v>14</v>
      </c>
      <c r="C63" s="4" t="s">
        <v>228</v>
      </c>
      <c r="D63" s="4" t="s">
        <v>39</v>
      </c>
      <c r="E63" s="4">
        <v>36</v>
      </c>
      <c r="F63" s="4">
        <v>962.99999999999989</v>
      </c>
      <c r="G63" s="4">
        <v>730</v>
      </c>
      <c r="H63" s="5">
        <v>0.90600000000000003</v>
      </c>
      <c r="I63" s="4">
        <v>3</v>
      </c>
      <c r="J63" s="4">
        <v>10</v>
      </c>
      <c r="L63" s="10">
        <f t="shared" si="0"/>
        <v>0</v>
      </c>
      <c r="M63" s="18">
        <v>1</v>
      </c>
      <c r="N63" s="10">
        <f t="shared" si="1"/>
        <v>0.5</v>
      </c>
      <c r="O63" s="10">
        <f t="shared" si="1"/>
        <v>0</v>
      </c>
      <c r="P63" s="10">
        <f t="shared" si="2"/>
        <v>1.5</v>
      </c>
      <c r="Q63" s="10" t="str">
        <f t="shared" si="3"/>
        <v>★½</v>
      </c>
    </row>
    <row r="64" spans="1:17" ht="20" thickBot="1" x14ac:dyDescent="0.3">
      <c r="A64" s="4" t="s">
        <v>494</v>
      </c>
      <c r="B64" s="4" t="s">
        <v>20</v>
      </c>
      <c r="C64" s="4" t="s">
        <v>476</v>
      </c>
      <c r="D64" s="4" t="s">
        <v>18</v>
      </c>
      <c r="E64" s="4">
        <v>25</v>
      </c>
      <c r="F64" s="4">
        <v>2799</v>
      </c>
      <c r="G64" s="4">
        <v>1036</v>
      </c>
      <c r="H64" s="7">
        <v>0.75</v>
      </c>
      <c r="I64" s="4">
        <v>9</v>
      </c>
      <c r="J64" s="4">
        <v>47</v>
      </c>
      <c r="L64" s="10">
        <f t="shared" si="0"/>
        <v>1</v>
      </c>
      <c r="M64" s="18">
        <v>0</v>
      </c>
      <c r="N64" s="10">
        <f t="shared" si="1"/>
        <v>1</v>
      </c>
      <c r="O64" s="10">
        <f t="shared" si="1"/>
        <v>1</v>
      </c>
      <c r="P64" s="10">
        <f t="shared" si="2"/>
        <v>3</v>
      </c>
      <c r="Q64" s="10" t="str">
        <f t="shared" si="3"/>
        <v>★★★</v>
      </c>
    </row>
    <row r="65" spans="1:17" ht="20" thickBot="1" x14ac:dyDescent="0.3">
      <c r="A65" s="4" t="s">
        <v>231</v>
      </c>
      <c r="B65" s="4" t="s">
        <v>29</v>
      </c>
      <c r="C65" s="4" t="s">
        <v>116</v>
      </c>
      <c r="D65" s="4" t="s">
        <v>58</v>
      </c>
      <c r="E65" s="4">
        <v>29</v>
      </c>
      <c r="F65" s="4">
        <v>1530</v>
      </c>
      <c r="G65" s="4">
        <v>678</v>
      </c>
      <c r="H65" s="5">
        <v>0.83699999999999997</v>
      </c>
      <c r="I65" s="4">
        <v>1</v>
      </c>
      <c r="J65" s="4">
        <v>13</v>
      </c>
      <c r="L65" s="10">
        <f t="shared" si="0"/>
        <v>1</v>
      </c>
      <c r="M65" s="18">
        <v>1</v>
      </c>
      <c r="N65" s="10">
        <f t="shared" si="1"/>
        <v>0</v>
      </c>
      <c r="O65" s="10">
        <f t="shared" si="1"/>
        <v>0.5</v>
      </c>
      <c r="P65" s="10">
        <f t="shared" si="2"/>
        <v>2.5</v>
      </c>
      <c r="Q65" s="10" t="str">
        <f t="shared" si="3"/>
        <v>★★½</v>
      </c>
    </row>
    <row r="66" spans="1:17" ht="20" thickBot="1" x14ac:dyDescent="0.3">
      <c r="A66" s="4" t="s">
        <v>495</v>
      </c>
      <c r="B66" s="4" t="s">
        <v>496</v>
      </c>
      <c r="C66" s="4" t="s">
        <v>476</v>
      </c>
      <c r="D66" s="4" t="s">
        <v>43</v>
      </c>
      <c r="E66" s="4">
        <v>22</v>
      </c>
      <c r="F66" s="4">
        <v>206.99999999999997</v>
      </c>
      <c r="G66" s="4">
        <v>24</v>
      </c>
      <c r="H66" s="5">
        <v>0.58499999999999996</v>
      </c>
      <c r="I66" s="4">
        <v>1</v>
      </c>
      <c r="J66" s="4">
        <v>0</v>
      </c>
      <c r="L66" s="10">
        <f t="shared" ref="L66:L129" si="4">IFERROR(_xlfn.IFS(F66&gt;=F$233,1,F66&gt;=F$232,0.5),0)</f>
        <v>0</v>
      </c>
      <c r="M66" s="18">
        <v>0</v>
      </c>
      <c r="N66" s="10">
        <f t="shared" ref="N66:O129" si="5">IFERROR(_xlfn.IFS(I66&gt;=I$233,1,I66&gt;=I$232,0.5),0)</f>
        <v>0</v>
      </c>
      <c r="O66" s="10">
        <f t="shared" si="5"/>
        <v>0</v>
      </c>
      <c r="P66" s="10">
        <f t="shared" ref="P66:P129" si="6">SUM($L66:$O66)</f>
        <v>0</v>
      </c>
      <c r="Q66" s="10" t="str">
        <f t="shared" ref="Q66:Q129" si="7">_xlfn.IFS(P66=0,"☆",P66 =0.5,"☆½", P66=1,"★",P66 =1.5,"★½", P66 =2.5,"★★½", P66=2,"★★", P66=3,"★★★", P66 =3.5,"★★★½",P66=4,"★★★★", P66 =4.5,"★★★★½", P66=5,"★★★★★")</f>
        <v>☆</v>
      </c>
    </row>
    <row r="67" spans="1:17" ht="20" thickBot="1" x14ac:dyDescent="0.3">
      <c r="A67" s="4" t="s">
        <v>497</v>
      </c>
      <c r="B67" s="4" t="s">
        <v>127</v>
      </c>
      <c r="C67" s="4" t="s">
        <v>476</v>
      </c>
      <c r="D67" s="4" t="s">
        <v>35</v>
      </c>
      <c r="E67" s="4">
        <v>27</v>
      </c>
      <c r="F67" s="4">
        <v>1467</v>
      </c>
      <c r="G67" s="4">
        <v>333</v>
      </c>
      <c r="H67" s="5">
        <v>0.69699999999999995</v>
      </c>
      <c r="I67" s="4">
        <v>5</v>
      </c>
      <c r="J67" s="4">
        <v>25</v>
      </c>
      <c r="L67" s="10">
        <f t="shared" si="4"/>
        <v>1</v>
      </c>
      <c r="M67" s="18">
        <v>0</v>
      </c>
      <c r="N67" s="10">
        <f t="shared" si="5"/>
        <v>1</v>
      </c>
      <c r="O67" s="10">
        <f t="shared" si="5"/>
        <v>1</v>
      </c>
      <c r="P67" s="10">
        <f t="shared" si="6"/>
        <v>3</v>
      </c>
      <c r="Q67" s="10" t="str">
        <f t="shared" si="7"/>
        <v>★★★</v>
      </c>
    </row>
    <row r="68" spans="1:17" ht="20" thickBot="1" x14ac:dyDescent="0.3">
      <c r="A68" s="4" t="s">
        <v>233</v>
      </c>
      <c r="B68" s="4" t="s">
        <v>14</v>
      </c>
      <c r="C68" s="4" t="s">
        <v>116</v>
      </c>
      <c r="D68" s="4" t="s">
        <v>47</v>
      </c>
      <c r="E68" s="4">
        <v>28</v>
      </c>
      <c r="F68" s="4">
        <v>2025</v>
      </c>
      <c r="G68" s="4">
        <v>1123</v>
      </c>
      <c r="H68" s="5">
        <v>0.85099999999999998</v>
      </c>
      <c r="I68" s="4">
        <v>8</v>
      </c>
      <c r="J68" s="4">
        <v>26</v>
      </c>
      <c r="L68" s="10">
        <f t="shared" si="4"/>
        <v>1</v>
      </c>
      <c r="M68" s="18">
        <v>1</v>
      </c>
      <c r="N68" s="10">
        <f t="shared" si="5"/>
        <v>1</v>
      </c>
      <c r="O68" s="10">
        <f t="shared" si="5"/>
        <v>1</v>
      </c>
      <c r="P68" s="10">
        <f t="shared" si="6"/>
        <v>4</v>
      </c>
      <c r="Q68" s="10" t="str">
        <f t="shared" si="7"/>
        <v>★★★★</v>
      </c>
    </row>
    <row r="69" spans="1:17" ht="20" thickBot="1" x14ac:dyDescent="0.3">
      <c r="A69" s="4" t="s">
        <v>236</v>
      </c>
      <c r="B69" s="4" t="s">
        <v>29</v>
      </c>
      <c r="C69" s="4" t="s">
        <v>116</v>
      </c>
      <c r="D69" s="4" t="s">
        <v>30</v>
      </c>
      <c r="E69" s="4">
        <v>21</v>
      </c>
      <c r="F69" s="4">
        <v>2844</v>
      </c>
      <c r="G69" s="4">
        <v>890</v>
      </c>
      <c r="H69" s="5">
        <v>0.76300000000000001</v>
      </c>
      <c r="I69" s="4">
        <v>11</v>
      </c>
      <c r="J69" s="4">
        <v>35</v>
      </c>
      <c r="L69" s="10">
        <f t="shared" si="4"/>
        <v>1</v>
      </c>
      <c r="M69" s="18">
        <v>0</v>
      </c>
      <c r="N69" s="10">
        <f t="shared" si="5"/>
        <v>1</v>
      </c>
      <c r="O69" s="10">
        <f t="shared" si="5"/>
        <v>1</v>
      </c>
      <c r="P69" s="10">
        <f t="shared" si="6"/>
        <v>3</v>
      </c>
      <c r="Q69" s="10" t="str">
        <f t="shared" si="7"/>
        <v>★★★</v>
      </c>
    </row>
    <row r="70" spans="1:17" ht="20" thickBot="1" x14ac:dyDescent="0.3">
      <c r="A70" s="4" t="s">
        <v>237</v>
      </c>
      <c r="B70" s="4" t="s">
        <v>133</v>
      </c>
      <c r="C70" s="4" t="s">
        <v>116</v>
      </c>
      <c r="D70" s="4" t="s">
        <v>27</v>
      </c>
      <c r="E70" s="4">
        <v>25</v>
      </c>
      <c r="F70" s="4">
        <v>62.999999999999993</v>
      </c>
      <c r="G70" s="4">
        <v>16</v>
      </c>
      <c r="H70" s="5">
        <v>0.76200000000000001</v>
      </c>
      <c r="I70" s="4">
        <v>0</v>
      </c>
      <c r="J70" s="4">
        <v>0</v>
      </c>
      <c r="L70" s="10">
        <f t="shared" si="4"/>
        <v>0</v>
      </c>
      <c r="M70" s="18">
        <v>0</v>
      </c>
      <c r="N70" s="10">
        <f t="shared" si="5"/>
        <v>0</v>
      </c>
      <c r="O70" s="10">
        <f t="shared" si="5"/>
        <v>0</v>
      </c>
      <c r="P70" s="10">
        <f t="shared" si="6"/>
        <v>0</v>
      </c>
      <c r="Q70" s="10" t="str">
        <f t="shared" si="7"/>
        <v>☆</v>
      </c>
    </row>
    <row r="71" spans="1:17" ht="20" thickBot="1" x14ac:dyDescent="0.3">
      <c r="A71" s="4" t="s">
        <v>498</v>
      </c>
      <c r="B71" s="4" t="s">
        <v>29</v>
      </c>
      <c r="C71" s="4" t="s">
        <v>476</v>
      </c>
      <c r="D71" s="4" t="s">
        <v>58</v>
      </c>
      <c r="E71" s="4">
        <v>19</v>
      </c>
      <c r="F71" s="4">
        <v>747.00000000000011</v>
      </c>
      <c r="G71" s="4">
        <v>105</v>
      </c>
      <c r="H71" s="5">
        <v>0.67300000000000004</v>
      </c>
      <c r="I71" s="4">
        <v>4</v>
      </c>
      <c r="J71" s="4">
        <v>9</v>
      </c>
      <c r="L71" s="10">
        <f t="shared" si="4"/>
        <v>0</v>
      </c>
      <c r="M71" s="18">
        <v>0</v>
      </c>
      <c r="N71" s="10">
        <f t="shared" si="5"/>
        <v>1</v>
      </c>
      <c r="O71" s="10">
        <f t="shared" si="5"/>
        <v>0</v>
      </c>
      <c r="P71" s="10">
        <f t="shared" si="6"/>
        <v>1</v>
      </c>
      <c r="Q71" s="10" t="str">
        <f t="shared" si="7"/>
        <v>★</v>
      </c>
    </row>
    <row r="72" spans="1:17" ht="20" thickBot="1" x14ac:dyDescent="0.3">
      <c r="A72" s="4" t="s">
        <v>499</v>
      </c>
      <c r="B72" s="4" t="s">
        <v>60</v>
      </c>
      <c r="C72" s="4" t="s">
        <v>476</v>
      </c>
      <c r="D72" s="4" t="s">
        <v>69</v>
      </c>
      <c r="E72" s="4">
        <v>26</v>
      </c>
      <c r="F72" s="4">
        <v>387</v>
      </c>
      <c r="G72" s="4">
        <v>82</v>
      </c>
      <c r="H72" s="5">
        <v>0.71299999999999997</v>
      </c>
      <c r="I72" s="4">
        <v>2</v>
      </c>
      <c r="J72" s="4">
        <v>4</v>
      </c>
      <c r="L72" s="10">
        <f t="shared" si="4"/>
        <v>0</v>
      </c>
      <c r="M72" s="18">
        <v>0</v>
      </c>
      <c r="N72" s="10">
        <f t="shared" si="5"/>
        <v>0.5</v>
      </c>
      <c r="O72" s="10">
        <f t="shared" si="5"/>
        <v>0</v>
      </c>
      <c r="P72" s="10">
        <f t="shared" si="6"/>
        <v>0.5</v>
      </c>
      <c r="Q72" s="10" t="str">
        <f t="shared" si="7"/>
        <v>☆½</v>
      </c>
    </row>
    <row r="73" spans="1:17" ht="20" thickBot="1" x14ac:dyDescent="0.3">
      <c r="A73" s="4" t="s">
        <v>238</v>
      </c>
      <c r="B73" s="4" t="s">
        <v>239</v>
      </c>
      <c r="C73" s="4" t="s">
        <v>171</v>
      </c>
      <c r="D73" s="4" t="s">
        <v>43</v>
      </c>
      <c r="E73" s="4">
        <v>27</v>
      </c>
      <c r="F73" s="4">
        <v>540</v>
      </c>
      <c r="G73" s="4">
        <v>149</v>
      </c>
      <c r="H73" s="5">
        <v>0.67400000000000004</v>
      </c>
      <c r="I73" s="4">
        <v>2</v>
      </c>
      <c r="J73" s="4">
        <v>6</v>
      </c>
      <c r="L73" s="10">
        <f t="shared" si="4"/>
        <v>0</v>
      </c>
      <c r="M73" s="18">
        <v>0</v>
      </c>
      <c r="N73" s="10">
        <f t="shared" si="5"/>
        <v>0.5</v>
      </c>
      <c r="O73" s="10">
        <f t="shared" si="5"/>
        <v>0</v>
      </c>
      <c r="P73" s="10">
        <f t="shared" si="6"/>
        <v>0.5</v>
      </c>
      <c r="Q73" s="10" t="str">
        <f t="shared" si="7"/>
        <v>☆½</v>
      </c>
    </row>
    <row r="74" spans="1:17" ht="20" thickBot="1" x14ac:dyDescent="0.3">
      <c r="A74" s="4" t="s">
        <v>500</v>
      </c>
      <c r="B74" s="4" t="s">
        <v>29</v>
      </c>
      <c r="C74" s="4" t="s">
        <v>476</v>
      </c>
      <c r="D74" s="4" t="s">
        <v>81</v>
      </c>
      <c r="E74" s="4">
        <v>21</v>
      </c>
      <c r="F74" s="4">
        <v>9</v>
      </c>
      <c r="G74" s="4">
        <v>7</v>
      </c>
      <c r="H74" s="7">
        <v>0.7</v>
      </c>
      <c r="I74" s="4">
        <v>0</v>
      </c>
      <c r="J74" s="4">
        <v>0</v>
      </c>
      <c r="L74" s="10">
        <f t="shared" si="4"/>
        <v>0</v>
      </c>
      <c r="M74" s="18">
        <v>0</v>
      </c>
      <c r="N74" s="10">
        <f t="shared" si="5"/>
        <v>0</v>
      </c>
      <c r="O74" s="10">
        <f t="shared" si="5"/>
        <v>0</v>
      </c>
      <c r="P74" s="10">
        <f t="shared" si="6"/>
        <v>0</v>
      </c>
      <c r="Q74" s="10" t="str">
        <f t="shared" si="7"/>
        <v>☆</v>
      </c>
    </row>
    <row r="75" spans="1:17" ht="20" thickBot="1" x14ac:dyDescent="0.3">
      <c r="A75" s="4" t="s">
        <v>243</v>
      </c>
      <c r="B75" s="4" t="s">
        <v>127</v>
      </c>
      <c r="C75" s="4" t="s">
        <v>116</v>
      </c>
      <c r="D75" s="4" t="s">
        <v>50</v>
      </c>
      <c r="E75" s="4">
        <v>20</v>
      </c>
      <c r="F75" s="4">
        <v>1854.0000000000002</v>
      </c>
      <c r="G75" s="4">
        <v>958</v>
      </c>
      <c r="H75" s="5">
        <v>0.79800000000000004</v>
      </c>
      <c r="I75" s="4">
        <v>1</v>
      </c>
      <c r="J75" s="4">
        <v>25</v>
      </c>
      <c r="L75" s="10">
        <f t="shared" si="4"/>
        <v>1</v>
      </c>
      <c r="M75" s="18">
        <v>1</v>
      </c>
      <c r="N75" s="10">
        <f t="shared" si="5"/>
        <v>0</v>
      </c>
      <c r="O75" s="10">
        <f t="shared" si="5"/>
        <v>1</v>
      </c>
      <c r="P75" s="10">
        <f t="shared" si="6"/>
        <v>3</v>
      </c>
      <c r="Q75" s="10" t="str">
        <f t="shared" si="7"/>
        <v>★★★</v>
      </c>
    </row>
    <row r="76" spans="1:17" ht="20" thickBot="1" x14ac:dyDescent="0.3">
      <c r="A76" s="4" t="s">
        <v>245</v>
      </c>
      <c r="B76" s="4" t="s">
        <v>83</v>
      </c>
      <c r="C76" s="4" t="s">
        <v>116</v>
      </c>
      <c r="D76" s="4" t="s">
        <v>27</v>
      </c>
      <c r="E76" s="4">
        <v>28</v>
      </c>
      <c r="F76" s="4">
        <v>621</v>
      </c>
      <c r="G76" s="4">
        <v>213</v>
      </c>
      <c r="H76" s="5">
        <v>0.76300000000000001</v>
      </c>
      <c r="I76" s="4">
        <v>1</v>
      </c>
      <c r="J76" s="4">
        <v>4</v>
      </c>
      <c r="L76" s="10">
        <f t="shared" si="4"/>
        <v>0</v>
      </c>
      <c r="M76" s="18">
        <v>0</v>
      </c>
      <c r="N76" s="10">
        <f t="shared" si="5"/>
        <v>0</v>
      </c>
      <c r="O76" s="10">
        <f t="shared" si="5"/>
        <v>0</v>
      </c>
      <c r="P76" s="10">
        <f t="shared" si="6"/>
        <v>0</v>
      </c>
      <c r="Q76" s="10" t="str">
        <f t="shared" si="7"/>
        <v>☆</v>
      </c>
    </row>
    <row r="77" spans="1:17" ht="20" thickBot="1" x14ac:dyDescent="0.3">
      <c r="A77" s="4" t="s">
        <v>501</v>
      </c>
      <c r="B77" s="4" t="s">
        <v>29</v>
      </c>
      <c r="C77" s="4" t="s">
        <v>471</v>
      </c>
      <c r="D77" s="4" t="s">
        <v>27</v>
      </c>
      <c r="E77" s="4">
        <v>20</v>
      </c>
      <c r="F77" s="4">
        <v>2286</v>
      </c>
      <c r="G77" s="4">
        <v>503</v>
      </c>
      <c r="H77" s="5">
        <v>0.66700000000000004</v>
      </c>
      <c r="I77" s="4">
        <v>6</v>
      </c>
      <c r="J77" s="4">
        <v>34</v>
      </c>
      <c r="L77" s="10">
        <f t="shared" si="4"/>
        <v>1</v>
      </c>
      <c r="M77" s="18">
        <v>0</v>
      </c>
      <c r="N77" s="10">
        <f t="shared" si="5"/>
        <v>1</v>
      </c>
      <c r="O77" s="10">
        <f t="shared" si="5"/>
        <v>1</v>
      </c>
      <c r="P77" s="10">
        <f t="shared" si="6"/>
        <v>3</v>
      </c>
      <c r="Q77" s="10" t="str">
        <f t="shared" si="7"/>
        <v>★★★</v>
      </c>
    </row>
    <row r="78" spans="1:17" ht="20" thickBot="1" x14ac:dyDescent="0.3">
      <c r="A78" s="4" t="s">
        <v>249</v>
      </c>
      <c r="B78" s="4" t="s">
        <v>29</v>
      </c>
      <c r="C78" s="4" t="s">
        <v>116</v>
      </c>
      <c r="D78" s="4" t="s">
        <v>24</v>
      </c>
      <c r="E78" s="4">
        <v>31</v>
      </c>
      <c r="F78" s="4">
        <v>162</v>
      </c>
      <c r="G78" s="4">
        <v>57</v>
      </c>
      <c r="H78" s="5">
        <v>0.85099999999999998</v>
      </c>
      <c r="I78" s="4">
        <v>1</v>
      </c>
      <c r="J78" s="4">
        <v>1</v>
      </c>
      <c r="L78" s="10">
        <f t="shared" si="4"/>
        <v>0</v>
      </c>
      <c r="M78" s="18">
        <v>0</v>
      </c>
      <c r="N78" s="10">
        <f t="shared" si="5"/>
        <v>0</v>
      </c>
      <c r="O78" s="10">
        <f t="shared" si="5"/>
        <v>0</v>
      </c>
      <c r="P78" s="10">
        <f t="shared" si="6"/>
        <v>0</v>
      </c>
      <c r="Q78" s="10" t="str">
        <f t="shared" si="7"/>
        <v>☆</v>
      </c>
    </row>
    <row r="79" spans="1:17" ht="20" thickBot="1" x14ac:dyDescent="0.3">
      <c r="A79" s="4" t="s">
        <v>502</v>
      </c>
      <c r="B79" s="4" t="s">
        <v>29</v>
      </c>
      <c r="C79" s="4" t="s">
        <v>471</v>
      </c>
      <c r="D79" s="4" t="s">
        <v>27</v>
      </c>
      <c r="E79" s="4">
        <v>25</v>
      </c>
      <c r="F79" s="4">
        <v>2340</v>
      </c>
      <c r="G79" s="4">
        <v>544</v>
      </c>
      <c r="H79" s="5">
        <v>0.71899999999999997</v>
      </c>
      <c r="I79" s="4">
        <v>9</v>
      </c>
      <c r="J79" s="4">
        <v>41</v>
      </c>
      <c r="L79" s="10">
        <f t="shared" si="4"/>
        <v>1</v>
      </c>
      <c r="M79" s="18">
        <v>0</v>
      </c>
      <c r="N79" s="10">
        <f t="shared" si="5"/>
        <v>1</v>
      </c>
      <c r="O79" s="10">
        <f t="shared" si="5"/>
        <v>1</v>
      </c>
      <c r="P79" s="10">
        <f t="shared" si="6"/>
        <v>3</v>
      </c>
      <c r="Q79" s="10" t="str">
        <f t="shared" si="7"/>
        <v>★★★</v>
      </c>
    </row>
    <row r="80" spans="1:17" ht="20" thickBot="1" x14ac:dyDescent="0.3">
      <c r="A80" s="4" t="s">
        <v>503</v>
      </c>
      <c r="B80" s="4" t="s">
        <v>29</v>
      </c>
      <c r="C80" s="4" t="s">
        <v>476</v>
      </c>
      <c r="D80" s="4" t="s">
        <v>47</v>
      </c>
      <c r="E80" s="4">
        <v>19</v>
      </c>
      <c r="F80" s="4">
        <v>1269</v>
      </c>
      <c r="G80" s="4">
        <v>397</v>
      </c>
      <c r="H80" s="5">
        <v>0.78800000000000003</v>
      </c>
      <c r="I80" s="4">
        <v>6</v>
      </c>
      <c r="J80" s="4">
        <v>15</v>
      </c>
      <c r="L80" s="10">
        <f t="shared" si="4"/>
        <v>0</v>
      </c>
      <c r="M80" s="18">
        <v>0</v>
      </c>
      <c r="N80" s="10">
        <f t="shared" si="5"/>
        <v>1</v>
      </c>
      <c r="O80" s="10">
        <f t="shared" si="5"/>
        <v>0.5</v>
      </c>
      <c r="P80" s="10">
        <f t="shared" si="6"/>
        <v>1.5</v>
      </c>
      <c r="Q80" s="10" t="str">
        <f t="shared" si="7"/>
        <v>★½</v>
      </c>
    </row>
    <row r="81" spans="1:17" ht="20" thickBot="1" x14ac:dyDescent="0.3">
      <c r="A81" s="4" t="s">
        <v>504</v>
      </c>
      <c r="B81" s="4" t="s">
        <v>29</v>
      </c>
      <c r="C81" s="4" t="s">
        <v>471</v>
      </c>
      <c r="D81" s="4" t="s">
        <v>58</v>
      </c>
      <c r="E81" s="4">
        <v>19</v>
      </c>
      <c r="F81" s="4">
        <v>234</v>
      </c>
      <c r="G81" s="4">
        <v>60</v>
      </c>
      <c r="H81" s="5">
        <v>0.70599999999999996</v>
      </c>
      <c r="I81" s="4">
        <v>2</v>
      </c>
      <c r="J81" s="4">
        <v>4</v>
      </c>
      <c r="L81" s="10">
        <f t="shared" si="4"/>
        <v>0</v>
      </c>
      <c r="M81" s="18">
        <v>0</v>
      </c>
      <c r="N81" s="10">
        <f t="shared" si="5"/>
        <v>0.5</v>
      </c>
      <c r="O81" s="10">
        <f t="shared" si="5"/>
        <v>0</v>
      </c>
      <c r="P81" s="10">
        <f t="shared" si="6"/>
        <v>0.5</v>
      </c>
      <c r="Q81" s="10" t="str">
        <f t="shared" si="7"/>
        <v>☆½</v>
      </c>
    </row>
    <row r="82" spans="1:17" ht="20" thickBot="1" x14ac:dyDescent="0.3">
      <c r="A82" s="4" t="s">
        <v>250</v>
      </c>
      <c r="B82" s="4" t="s">
        <v>62</v>
      </c>
      <c r="C82" s="4" t="s">
        <v>228</v>
      </c>
      <c r="D82" s="4" t="s">
        <v>85</v>
      </c>
      <c r="E82" s="4">
        <v>30</v>
      </c>
      <c r="F82" s="4">
        <v>2034.0000000000002</v>
      </c>
      <c r="G82" s="4">
        <v>984</v>
      </c>
      <c r="H82" s="5">
        <v>0.748</v>
      </c>
      <c r="I82" s="4">
        <v>6</v>
      </c>
      <c r="J82" s="4">
        <v>60</v>
      </c>
      <c r="L82" s="10">
        <f t="shared" si="4"/>
        <v>1</v>
      </c>
      <c r="M82" s="18">
        <v>0</v>
      </c>
      <c r="N82" s="10">
        <f t="shared" si="5"/>
        <v>1</v>
      </c>
      <c r="O82" s="10">
        <f t="shared" si="5"/>
        <v>1</v>
      </c>
      <c r="P82" s="10">
        <f t="shared" si="6"/>
        <v>3</v>
      </c>
      <c r="Q82" s="10" t="str">
        <f t="shared" si="7"/>
        <v>★★★</v>
      </c>
    </row>
    <row r="83" spans="1:17" ht="20" thickBot="1" x14ac:dyDescent="0.3">
      <c r="A83" s="4" t="s">
        <v>252</v>
      </c>
      <c r="B83" s="4" t="s">
        <v>14</v>
      </c>
      <c r="C83" s="4" t="s">
        <v>116</v>
      </c>
      <c r="D83" s="4" t="s">
        <v>35</v>
      </c>
      <c r="E83" s="4">
        <v>23</v>
      </c>
      <c r="F83" s="4">
        <v>1035</v>
      </c>
      <c r="G83" s="4">
        <v>441</v>
      </c>
      <c r="H83" s="5">
        <v>0.86299999999999999</v>
      </c>
      <c r="I83" s="4">
        <v>6</v>
      </c>
      <c r="J83" s="4">
        <v>13</v>
      </c>
      <c r="L83" s="10">
        <f t="shared" si="4"/>
        <v>0</v>
      </c>
      <c r="M83" s="18">
        <v>1</v>
      </c>
      <c r="N83" s="10">
        <f t="shared" si="5"/>
        <v>1</v>
      </c>
      <c r="O83" s="10">
        <f t="shared" si="5"/>
        <v>0.5</v>
      </c>
      <c r="P83" s="10">
        <f t="shared" si="6"/>
        <v>2.5</v>
      </c>
      <c r="Q83" s="10" t="str">
        <f t="shared" si="7"/>
        <v>★★½</v>
      </c>
    </row>
    <row r="84" spans="1:17" ht="20" thickBot="1" x14ac:dyDescent="0.3">
      <c r="A84" s="4" t="s">
        <v>253</v>
      </c>
      <c r="B84" s="4" t="s">
        <v>62</v>
      </c>
      <c r="C84" s="4" t="s">
        <v>116</v>
      </c>
      <c r="D84" s="4" t="s">
        <v>39</v>
      </c>
      <c r="E84" s="4">
        <v>30</v>
      </c>
      <c r="F84" s="4">
        <v>1854.0000000000002</v>
      </c>
      <c r="G84" s="4">
        <v>1160</v>
      </c>
      <c r="H84" s="5">
        <v>0.875</v>
      </c>
      <c r="I84" s="4">
        <v>12</v>
      </c>
      <c r="J84" s="4">
        <v>37</v>
      </c>
      <c r="L84" s="10">
        <f t="shared" si="4"/>
        <v>1</v>
      </c>
      <c r="M84" s="18">
        <v>1</v>
      </c>
      <c r="N84" s="10">
        <f t="shared" si="5"/>
        <v>1</v>
      </c>
      <c r="O84" s="10">
        <f t="shared" si="5"/>
        <v>1</v>
      </c>
      <c r="P84" s="10">
        <f t="shared" si="6"/>
        <v>4</v>
      </c>
      <c r="Q84" s="10" t="str">
        <f t="shared" si="7"/>
        <v>★★★★</v>
      </c>
    </row>
    <row r="85" spans="1:17" ht="20" thickBot="1" x14ac:dyDescent="0.3">
      <c r="A85" s="4" t="s">
        <v>505</v>
      </c>
      <c r="B85" s="4" t="s">
        <v>29</v>
      </c>
      <c r="C85" s="4" t="s">
        <v>476</v>
      </c>
      <c r="D85" s="4" t="s">
        <v>58</v>
      </c>
      <c r="E85" s="4">
        <v>24</v>
      </c>
      <c r="F85" s="4">
        <v>2637</v>
      </c>
      <c r="G85" s="4">
        <v>665</v>
      </c>
      <c r="H85" s="5">
        <v>0.65300000000000002</v>
      </c>
      <c r="I85" s="4">
        <v>9</v>
      </c>
      <c r="J85" s="4">
        <v>41</v>
      </c>
      <c r="L85" s="10">
        <f t="shared" si="4"/>
        <v>1</v>
      </c>
      <c r="M85" s="18">
        <v>0</v>
      </c>
      <c r="N85" s="10">
        <f t="shared" si="5"/>
        <v>1</v>
      </c>
      <c r="O85" s="10">
        <f t="shared" si="5"/>
        <v>1</v>
      </c>
      <c r="P85" s="10">
        <f t="shared" si="6"/>
        <v>3</v>
      </c>
      <c r="Q85" s="10" t="str">
        <f t="shared" si="7"/>
        <v>★★★</v>
      </c>
    </row>
    <row r="86" spans="1:17" ht="20" thickBot="1" x14ac:dyDescent="0.3">
      <c r="A86" s="4" t="s">
        <v>506</v>
      </c>
      <c r="B86" s="4" t="s">
        <v>62</v>
      </c>
      <c r="C86" s="4" t="s">
        <v>476</v>
      </c>
      <c r="D86" s="4" t="s">
        <v>21</v>
      </c>
      <c r="E86" s="4">
        <v>22</v>
      </c>
      <c r="F86" s="4">
        <v>1809.0000000000002</v>
      </c>
      <c r="G86" s="4">
        <v>546</v>
      </c>
      <c r="H86" s="5">
        <v>0.81599999999999995</v>
      </c>
      <c r="I86" s="4">
        <v>11</v>
      </c>
      <c r="J86" s="4">
        <v>20</v>
      </c>
      <c r="L86" s="10">
        <f t="shared" si="4"/>
        <v>1</v>
      </c>
      <c r="M86" s="18">
        <v>1</v>
      </c>
      <c r="N86" s="10">
        <f t="shared" si="5"/>
        <v>1</v>
      </c>
      <c r="O86" s="10">
        <f t="shared" si="5"/>
        <v>1</v>
      </c>
      <c r="P86" s="10">
        <f t="shared" si="6"/>
        <v>4</v>
      </c>
      <c r="Q86" s="10" t="str">
        <f t="shared" si="7"/>
        <v>★★★★</v>
      </c>
    </row>
    <row r="87" spans="1:17" ht="20" thickBot="1" x14ac:dyDescent="0.3">
      <c r="A87" s="4" t="s">
        <v>256</v>
      </c>
      <c r="B87" s="4" t="s">
        <v>29</v>
      </c>
      <c r="C87" s="4" t="s">
        <v>228</v>
      </c>
      <c r="D87" s="4" t="s">
        <v>35</v>
      </c>
      <c r="E87" s="4">
        <v>26</v>
      </c>
      <c r="F87" s="4">
        <v>999</v>
      </c>
      <c r="G87" s="4">
        <v>255</v>
      </c>
      <c r="H87" s="5">
        <v>0.80200000000000005</v>
      </c>
      <c r="I87" s="4">
        <v>1</v>
      </c>
      <c r="J87" s="4">
        <v>2</v>
      </c>
      <c r="L87" s="10">
        <f t="shared" si="4"/>
        <v>0</v>
      </c>
      <c r="M87" s="18">
        <v>0</v>
      </c>
      <c r="N87" s="10">
        <f t="shared" si="5"/>
        <v>0</v>
      </c>
      <c r="O87" s="10">
        <f t="shared" si="5"/>
        <v>0</v>
      </c>
      <c r="P87" s="10">
        <f t="shared" si="6"/>
        <v>0</v>
      </c>
      <c r="Q87" s="10" t="str">
        <f t="shared" si="7"/>
        <v>☆</v>
      </c>
    </row>
    <row r="88" spans="1:17" ht="20" thickBot="1" x14ac:dyDescent="0.3">
      <c r="A88" s="4" t="s">
        <v>507</v>
      </c>
      <c r="B88" s="4" t="s">
        <v>508</v>
      </c>
      <c r="C88" s="4" t="s">
        <v>476</v>
      </c>
      <c r="D88" s="4" t="s">
        <v>81</v>
      </c>
      <c r="E88" s="4">
        <v>25</v>
      </c>
      <c r="F88" s="4">
        <v>1818</v>
      </c>
      <c r="G88" s="4">
        <v>509</v>
      </c>
      <c r="H88" s="5">
        <v>0.81299999999999994</v>
      </c>
      <c r="I88" s="4">
        <v>6</v>
      </c>
      <c r="J88" s="4">
        <v>16</v>
      </c>
      <c r="L88" s="10">
        <f t="shared" si="4"/>
        <v>1</v>
      </c>
      <c r="M88" s="18">
        <v>1</v>
      </c>
      <c r="N88" s="10">
        <f t="shared" si="5"/>
        <v>1</v>
      </c>
      <c r="O88" s="10">
        <f t="shared" si="5"/>
        <v>0.5</v>
      </c>
      <c r="P88" s="10">
        <f t="shared" si="6"/>
        <v>3.5</v>
      </c>
      <c r="Q88" s="10" t="str">
        <f t="shared" si="7"/>
        <v>★★★½</v>
      </c>
    </row>
    <row r="89" spans="1:17" ht="20" thickBot="1" x14ac:dyDescent="0.3">
      <c r="A89" s="4" t="s">
        <v>257</v>
      </c>
      <c r="B89" s="4" t="s">
        <v>29</v>
      </c>
      <c r="C89" s="4" t="s">
        <v>116</v>
      </c>
      <c r="D89" s="4" t="s">
        <v>15</v>
      </c>
      <c r="E89" s="4">
        <v>31</v>
      </c>
      <c r="F89" s="4">
        <v>2601</v>
      </c>
      <c r="G89" s="4">
        <v>1846</v>
      </c>
      <c r="H89" s="5">
        <v>0.83799999999999997</v>
      </c>
      <c r="I89" s="4">
        <v>7</v>
      </c>
      <c r="J89" s="4">
        <v>38</v>
      </c>
      <c r="L89" s="10">
        <f t="shared" si="4"/>
        <v>1</v>
      </c>
      <c r="M89" s="18">
        <v>2</v>
      </c>
      <c r="N89" s="10">
        <f t="shared" si="5"/>
        <v>1</v>
      </c>
      <c r="O89" s="10">
        <f t="shared" si="5"/>
        <v>1</v>
      </c>
      <c r="P89" s="10">
        <f t="shared" si="6"/>
        <v>5</v>
      </c>
      <c r="Q89" s="10" t="str">
        <f t="shared" si="7"/>
        <v>★★★★★</v>
      </c>
    </row>
    <row r="90" spans="1:17" ht="20" thickBot="1" x14ac:dyDescent="0.3">
      <c r="A90" s="4" t="s">
        <v>258</v>
      </c>
      <c r="B90" s="4" t="s">
        <v>55</v>
      </c>
      <c r="C90" s="4" t="s">
        <v>116</v>
      </c>
      <c r="D90" s="4" t="s">
        <v>35</v>
      </c>
      <c r="E90" s="4">
        <v>29</v>
      </c>
      <c r="F90" s="4">
        <v>72</v>
      </c>
      <c r="G90" s="4">
        <v>24</v>
      </c>
      <c r="H90" s="5">
        <v>0.88900000000000001</v>
      </c>
      <c r="I90" s="4">
        <v>1</v>
      </c>
      <c r="J90" s="4">
        <v>1</v>
      </c>
      <c r="L90" s="10">
        <f t="shared" si="4"/>
        <v>0</v>
      </c>
      <c r="M90" s="18">
        <v>0</v>
      </c>
      <c r="N90" s="10">
        <f t="shared" si="5"/>
        <v>0</v>
      </c>
      <c r="O90" s="10">
        <f t="shared" si="5"/>
        <v>0</v>
      </c>
      <c r="P90" s="10">
        <f t="shared" si="6"/>
        <v>0</v>
      </c>
      <c r="Q90" s="10" t="str">
        <f t="shared" si="7"/>
        <v>☆</v>
      </c>
    </row>
    <row r="91" spans="1:17" ht="20" thickBot="1" x14ac:dyDescent="0.3">
      <c r="A91" s="4" t="s">
        <v>509</v>
      </c>
      <c r="B91" s="4" t="s">
        <v>508</v>
      </c>
      <c r="C91" s="4" t="s">
        <v>476</v>
      </c>
      <c r="D91" s="4" t="s">
        <v>65</v>
      </c>
      <c r="E91" s="4">
        <v>29</v>
      </c>
      <c r="F91" s="4">
        <v>3006</v>
      </c>
      <c r="G91" s="4">
        <v>933</v>
      </c>
      <c r="H91" s="5">
        <v>0.76300000000000001</v>
      </c>
      <c r="I91" s="4">
        <v>30</v>
      </c>
      <c r="J91" s="4">
        <v>71</v>
      </c>
      <c r="L91" s="10">
        <f t="shared" si="4"/>
        <v>1</v>
      </c>
      <c r="M91" s="18">
        <v>0</v>
      </c>
      <c r="N91" s="10">
        <f t="shared" si="5"/>
        <v>1</v>
      </c>
      <c r="O91" s="10">
        <f t="shared" si="5"/>
        <v>1</v>
      </c>
      <c r="P91" s="10">
        <f t="shared" si="6"/>
        <v>3</v>
      </c>
      <c r="Q91" s="10" t="str">
        <f t="shared" si="7"/>
        <v>★★★</v>
      </c>
    </row>
    <row r="92" spans="1:17" ht="20" thickBot="1" x14ac:dyDescent="0.3">
      <c r="A92" s="4" t="s">
        <v>261</v>
      </c>
      <c r="B92" s="4" t="s">
        <v>67</v>
      </c>
      <c r="C92" s="4" t="s">
        <v>116</v>
      </c>
      <c r="D92" s="4" t="s">
        <v>65</v>
      </c>
      <c r="E92" s="4">
        <v>25</v>
      </c>
      <c r="F92" s="4">
        <v>3195</v>
      </c>
      <c r="G92" s="4">
        <v>2222</v>
      </c>
      <c r="H92" s="5">
        <v>0.89400000000000002</v>
      </c>
      <c r="I92" s="4">
        <v>4</v>
      </c>
      <c r="J92" s="4">
        <v>30</v>
      </c>
      <c r="L92" s="10">
        <f t="shared" si="4"/>
        <v>1</v>
      </c>
      <c r="M92" s="18">
        <v>2</v>
      </c>
      <c r="N92" s="10">
        <f t="shared" si="5"/>
        <v>1</v>
      </c>
      <c r="O92" s="10">
        <f t="shared" si="5"/>
        <v>1</v>
      </c>
      <c r="P92" s="10">
        <f t="shared" si="6"/>
        <v>5</v>
      </c>
      <c r="Q92" s="10" t="str">
        <f t="shared" si="7"/>
        <v>★★★★★</v>
      </c>
    </row>
    <row r="93" spans="1:17" ht="20" thickBot="1" x14ac:dyDescent="0.3">
      <c r="A93" s="4" t="s">
        <v>510</v>
      </c>
      <c r="B93" s="4" t="s">
        <v>29</v>
      </c>
      <c r="C93" s="4" t="s">
        <v>476</v>
      </c>
      <c r="D93" s="4" t="s">
        <v>21</v>
      </c>
      <c r="E93" s="4">
        <v>20</v>
      </c>
      <c r="F93" s="4">
        <v>962.99999999999989</v>
      </c>
      <c r="G93" s="4">
        <v>313</v>
      </c>
      <c r="H93" s="5">
        <v>0.79600000000000004</v>
      </c>
      <c r="I93" s="4">
        <v>3</v>
      </c>
      <c r="J93" s="4">
        <v>24</v>
      </c>
      <c r="L93" s="10">
        <f t="shared" si="4"/>
        <v>0</v>
      </c>
      <c r="M93" s="18">
        <v>0</v>
      </c>
      <c r="N93" s="10">
        <f t="shared" si="5"/>
        <v>0.5</v>
      </c>
      <c r="O93" s="10">
        <f t="shared" si="5"/>
        <v>1</v>
      </c>
      <c r="P93" s="10">
        <f t="shared" si="6"/>
        <v>1.5</v>
      </c>
      <c r="Q93" s="10" t="str">
        <f t="shared" si="7"/>
        <v>★½</v>
      </c>
    </row>
    <row r="94" spans="1:17" ht="20" thickBot="1" x14ac:dyDescent="0.3">
      <c r="A94" s="4" t="s">
        <v>264</v>
      </c>
      <c r="B94" s="4" t="s">
        <v>29</v>
      </c>
      <c r="C94" s="4" t="s">
        <v>116</v>
      </c>
      <c r="D94" s="4" t="s">
        <v>30</v>
      </c>
      <c r="E94" s="4">
        <v>26</v>
      </c>
      <c r="F94" s="4">
        <v>1053</v>
      </c>
      <c r="G94" s="4">
        <v>428</v>
      </c>
      <c r="H94" s="5">
        <v>0.81799999999999995</v>
      </c>
      <c r="I94" s="4">
        <v>1</v>
      </c>
      <c r="J94" s="4">
        <v>8</v>
      </c>
      <c r="L94" s="10">
        <f t="shared" si="4"/>
        <v>0</v>
      </c>
      <c r="M94" s="18">
        <v>1</v>
      </c>
      <c r="N94" s="10">
        <f t="shared" si="5"/>
        <v>0</v>
      </c>
      <c r="O94" s="10">
        <f t="shared" si="5"/>
        <v>0</v>
      </c>
      <c r="P94" s="10">
        <f t="shared" si="6"/>
        <v>1</v>
      </c>
      <c r="Q94" s="10" t="str">
        <f t="shared" si="7"/>
        <v>★</v>
      </c>
    </row>
    <row r="95" spans="1:17" ht="20" thickBot="1" x14ac:dyDescent="0.3">
      <c r="A95" s="4" t="s">
        <v>511</v>
      </c>
      <c r="B95" s="4" t="s">
        <v>55</v>
      </c>
      <c r="C95" s="4" t="s">
        <v>476</v>
      </c>
      <c r="D95" s="4" t="s">
        <v>50</v>
      </c>
      <c r="E95" s="4">
        <v>20</v>
      </c>
      <c r="F95" s="4">
        <v>621</v>
      </c>
      <c r="G95" s="4">
        <v>96</v>
      </c>
      <c r="H95" s="5">
        <v>0.67600000000000005</v>
      </c>
      <c r="I95" s="4">
        <v>2</v>
      </c>
      <c r="J95" s="4">
        <v>4</v>
      </c>
      <c r="L95" s="10">
        <f t="shared" si="4"/>
        <v>0</v>
      </c>
      <c r="M95" s="18">
        <v>0</v>
      </c>
      <c r="N95" s="10">
        <f t="shared" si="5"/>
        <v>0.5</v>
      </c>
      <c r="O95" s="10">
        <f t="shared" si="5"/>
        <v>0</v>
      </c>
      <c r="P95" s="10">
        <f t="shared" si="6"/>
        <v>0.5</v>
      </c>
      <c r="Q95" s="10" t="str">
        <f t="shared" si="7"/>
        <v>☆½</v>
      </c>
    </row>
    <row r="96" spans="1:17" ht="20" thickBot="1" x14ac:dyDescent="0.3">
      <c r="A96" s="4" t="s">
        <v>265</v>
      </c>
      <c r="B96" s="4" t="s">
        <v>29</v>
      </c>
      <c r="C96" s="4" t="s">
        <v>116</v>
      </c>
      <c r="D96" s="4" t="s">
        <v>69</v>
      </c>
      <c r="E96" s="4">
        <v>18</v>
      </c>
      <c r="F96" s="4">
        <v>90</v>
      </c>
      <c r="G96" s="4">
        <v>21</v>
      </c>
      <c r="H96" s="7">
        <v>0.84</v>
      </c>
      <c r="I96" s="4">
        <v>0</v>
      </c>
      <c r="J96" s="4">
        <v>0</v>
      </c>
      <c r="L96" s="10">
        <f t="shared" si="4"/>
        <v>0</v>
      </c>
      <c r="M96" s="18">
        <v>0</v>
      </c>
      <c r="N96" s="10">
        <f t="shared" si="5"/>
        <v>0</v>
      </c>
      <c r="O96" s="10">
        <f t="shared" si="5"/>
        <v>0</v>
      </c>
      <c r="P96" s="10">
        <f t="shared" si="6"/>
        <v>0</v>
      </c>
      <c r="Q96" s="10" t="str">
        <f t="shared" si="7"/>
        <v>☆</v>
      </c>
    </row>
    <row r="97" spans="1:17" ht="20" thickBot="1" x14ac:dyDescent="0.3">
      <c r="A97" s="4" t="s">
        <v>266</v>
      </c>
      <c r="B97" s="4" t="s">
        <v>219</v>
      </c>
      <c r="C97" s="4" t="s">
        <v>228</v>
      </c>
      <c r="D97" s="4" t="s">
        <v>27</v>
      </c>
      <c r="E97" s="4">
        <v>25</v>
      </c>
      <c r="F97" s="4">
        <v>2034.0000000000002</v>
      </c>
      <c r="G97" s="4">
        <v>606</v>
      </c>
      <c r="H97" s="5">
        <v>0.77200000000000002</v>
      </c>
      <c r="I97" s="4">
        <v>4</v>
      </c>
      <c r="J97" s="4">
        <v>35</v>
      </c>
      <c r="L97" s="10">
        <f t="shared" si="4"/>
        <v>1</v>
      </c>
      <c r="M97" s="18">
        <v>0</v>
      </c>
      <c r="N97" s="10">
        <f t="shared" si="5"/>
        <v>1</v>
      </c>
      <c r="O97" s="10">
        <f t="shared" si="5"/>
        <v>1</v>
      </c>
      <c r="P97" s="10">
        <f t="shared" si="6"/>
        <v>3</v>
      </c>
      <c r="Q97" s="10" t="str">
        <f t="shared" si="7"/>
        <v>★★★</v>
      </c>
    </row>
    <row r="98" spans="1:17" ht="20" thickBot="1" x14ac:dyDescent="0.3">
      <c r="A98" s="4" t="s">
        <v>512</v>
      </c>
      <c r="B98" s="4" t="s">
        <v>52</v>
      </c>
      <c r="C98" s="4" t="s">
        <v>476</v>
      </c>
      <c r="D98" s="4" t="s">
        <v>58</v>
      </c>
      <c r="E98" s="4">
        <v>23</v>
      </c>
      <c r="F98" s="4">
        <v>2367</v>
      </c>
      <c r="G98" s="4">
        <v>330</v>
      </c>
      <c r="H98" s="7">
        <v>0.65</v>
      </c>
      <c r="I98" s="4">
        <v>8</v>
      </c>
      <c r="J98" s="4">
        <v>23</v>
      </c>
      <c r="L98" s="10">
        <f t="shared" si="4"/>
        <v>1</v>
      </c>
      <c r="M98" s="18">
        <v>0</v>
      </c>
      <c r="N98" s="10">
        <f t="shared" si="5"/>
        <v>1</v>
      </c>
      <c r="O98" s="10">
        <f t="shared" si="5"/>
        <v>1</v>
      </c>
      <c r="P98" s="10">
        <f t="shared" si="6"/>
        <v>3</v>
      </c>
      <c r="Q98" s="10" t="str">
        <f t="shared" si="7"/>
        <v>★★★</v>
      </c>
    </row>
    <row r="99" spans="1:17" ht="20" thickBot="1" x14ac:dyDescent="0.3">
      <c r="A99" s="4" t="s">
        <v>268</v>
      </c>
      <c r="B99" s="4" t="s">
        <v>62</v>
      </c>
      <c r="C99" s="4" t="s">
        <v>116</v>
      </c>
      <c r="D99" s="4" t="s">
        <v>43</v>
      </c>
      <c r="E99" s="4">
        <v>23</v>
      </c>
      <c r="F99" s="4">
        <v>2295</v>
      </c>
      <c r="G99" s="4">
        <v>768</v>
      </c>
      <c r="H99" s="7">
        <v>0.77</v>
      </c>
      <c r="I99" s="4">
        <v>4</v>
      </c>
      <c r="J99" s="4">
        <v>20</v>
      </c>
      <c r="L99" s="10">
        <f t="shared" si="4"/>
        <v>1</v>
      </c>
      <c r="M99" s="18">
        <v>0</v>
      </c>
      <c r="N99" s="10">
        <f t="shared" si="5"/>
        <v>1</v>
      </c>
      <c r="O99" s="10">
        <f t="shared" si="5"/>
        <v>1</v>
      </c>
      <c r="P99" s="10">
        <f t="shared" si="6"/>
        <v>3</v>
      </c>
      <c r="Q99" s="10" t="str">
        <f t="shared" si="7"/>
        <v>★★★</v>
      </c>
    </row>
    <row r="100" spans="1:17" ht="20" thickBot="1" x14ac:dyDescent="0.3">
      <c r="A100" s="4" t="s">
        <v>270</v>
      </c>
      <c r="B100" s="4" t="s">
        <v>67</v>
      </c>
      <c r="C100" s="4" t="s">
        <v>116</v>
      </c>
      <c r="D100" s="4" t="s">
        <v>43</v>
      </c>
      <c r="E100" s="4">
        <v>25</v>
      </c>
      <c r="F100" s="4">
        <v>1602</v>
      </c>
      <c r="G100" s="4">
        <v>558</v>
      </c>
      <c r="H100" s="5">
        <v>0.72399999999999998</v>
      </c>
      <c r="I100" s="4">
        <v>1</v>
      </c>
      <c r="J100" s="4">
        <v>37</v>
      </c>
      <c r="L100" s="10">
        <f t="shared" si="4"/>
        <v>1</v>
      </c>
      <c r="M100" s="18">
        <v>0</v>
      </c>
      <c r="N100" s="10">
        <f t="shared" si="5"/>
        <v>0</v>
      </c>
      <c r="O100" s="10">
        <f t="shared" si="5"/>
        <v>1</v>
      </c>
      <c r="P100" s="10">
        <f t="shared" si="6"/>
        <v>2</v>
      </c>
      <c r="Q100" s="10" t="str">
        <f t="shared" si="7"/>
        <v>★★</v>
      </c>
    </row>
    <row r="101" spans="1:17" ht="20" thickBot="1" x14ac:dyDescent="0.3">
      <c r="A101" s="4" t="s">
        <v>513</v>
      </c>
      <c r="B101" s="4" t="s">
        <v>14</v>
      </c>
      <c r="C101" s="4" t="s">
        <v>476</v>
      </c>
      <c r="D101" s="4" t="s">
        <v>24</v>
      </c>
      <c r="E101" s="4">
        <v>19</v>
      </c>
      <c r="F101" s="4">
        <v>1647</v>
      </c>
      <c r="G101" s="4">
        <v>397</v>
      </c>
      <c r="H101" s="5">
        <v>0.68899999999999995</v>
      </c>
      <c r="I101" s="4">
        <v>4</v>
      </c>
      <c r="J101" s="4">
        <v>17</v>
      </c>
      <c r="L101" s="10">
        <f t="shared" si="4"/>
        <v>1</v>
      </c>
      <c r="M101" s="18">
        <v>0</v>
      </c>
      <c r="N101" s="10">
        <f t="shared" si="5"/>
        <v>1</v>
      </c>
      <c r="O101" s="10">
        <f t="shared" si="5"/>
        <v>0.5</v>
      </c>
      <c r="P101" s="10">
        <f t="shared" si="6"/>
        <v>2.5</v>
      </c>
      <c r="Q101" s="10" t="str">
        <f t="shared" si="7"/>
        <v>★★½</v>
      </c>
    </row>
    <row r="102" spans="1:17" ht="20" thickBot="1" x14ac:dyDescent="0.3">
      <c r="A102" s="4" t="s">
        <v>514</v>
      </c>
      <c r="B102" s="4" t="s">
        <v>14</v>
      </c>
      <c r="C102" s="4" t="s">
        <v>471</v>
      </c>
      <c r="D102" s="4" t="s">
        <v>35</v>
      </c>
      <c r="E102" s="4">
        <v>24</v>
      </c>
      <c r="F102" s="4">
        <v>2556</v>
      </c>
      <c r="G102" s="4">
        <v>745</v>
      </c>
      <c r="H102" s="5">
        <v>0.79200000000000004</v>
      </c>
      <c r="I102" s="4">
        <v>5</v>
      </c>
      <c r="J102" s="4">
        <v>28</v>
      </c>
      <c r="L102" s="10">
        <f t="shared" si="4"/>
        <v>1</v>
      </c>
      <c r="M102" s="18">
        <v>1</v>
      </c>
      <c r="N102" s="10">
        <f t="shared" si="5"/>
        <v>1</v>
      </c>
      <c r="O102" s="10">
        <f t="shared" si="5"/>
        <v>1</v>
      </c>
      <c r="P102" s="10">
        <f t="shared" si="6"/>
        <v>4</v>
      </c>
      <c r="Q102" s="10" t="str">
        <f t="shared" si="7"/>
        <v>★★★★</v>
      </c>
    </row>
    <row r="103" spans="1:17" ht="20" thickBot="1" x14ac:dyDescent="0.3">
      <c r="A103" s="4" t="s">
        <v>272</v>
      </c>
      <c r="B103" s="4" t="s">
        <v>29</v>
      </c>
      <c r="C103" s="4" t="s">
        <v>116</v>
      </c>
      <c r="D103" s="4" t="s">
        <v>15</v>
      </c>
      <c r="E103" s="4">
        <v>20</v>
      </c>
      <c r="F103" s="4">
        <v>855</v>
      </c>
      <c r="G103" s="4">
        <v>534</v>
      </c>
      <c r="H103" s="5">
        <v>0.90400000000000003</v>
      </c>
      <c r="I103" s="4">
        <v>2</v>
      </c>
      <c r="J103" s="4">
        <v>9</v>
      </c>
      <c r="L103" s="10">
        <f t="shared" si="4"/>
        <v>0</v>
      </c>
      <c r="M103" s="18">
        <v>1</v>
      </c>
      <c r="N103" s="10">
        <f t="shared" si="5"/>
        <v>0.5</v>
      </c>
      <c r="O103" s="10">
        <f t="shared" si="5"/>
        <v>0</v>
      </c>
      <c r="P103" s="10">
        <f t="shared" si="6"/>
        <v>1.5</v>
      </c>
      <c r="Q103" s="10" t="str">
        <f t="shared" si="7"/>
        <v>★½</v>
      </c>
    </row>
    <row r="104" spans="1:17" ht="20" thickBot="1" x14ac:dyDescent="0.3">
      <c r="A104" s="4" t="s">
        <v>275</v>
      </c>
      <c r="B104" s="4" t="s">
        <v>276</v>
      </c>
      <c r="C104" s="4" t="s">
        <v>116</v>
      </c>
      <c r="D104" s="4" t="s">
        <v>21</v>
      </c>
      <c r="E104" s="4">
        <v>29</v>
      </c>
      <c r="F104" s="4">
        <v>2277</v>
      </c>
      <c r="G104" s="4">
        <v>1664</v>
      </c>
      <c r="H104" s="5">
        <v>0.89700000000000002</v>
      </c>
      <c r="I104" s="4">
        <v>8</v>
      </c>
      <c r="J104" s="4">
        <v>25</v>
      </c>
      <c r="L104" s="10">
        <f t="shared" si="4"/>
        <v>1</v>
      </c>
      <c r="M104" s="18">
        <v>2</v>
      </c>
      <c r="N104" s="10">
        <f t="shared" si="5"/>
        <v>1</v>
      </c>
      <c r="O104" s="10">
        <f t="shared" si="5"/>
        <v>1</v>
      </c>
      <c r="P104" s="10">
        <f t="shared" si="6"/>
        <v>5</v>
      </c>
      <c r="Q104" s="10" t="str">
        <f t="shared" si="7"/>
        <v>★★★★★</v>
      </c>
    </row>
    <row r="105" spans="1:17" ht="20" thickBot="1" x14ac:dyDescent="0.3">
      <c r="A105" s="4" t="s">
        <v>282</v>
      </c>
      <c r="B105" s="4" t="s">
        <v>17</v>
      </c>
      <c r="C105" s="4" t="s">
        <v>116</v>
      </c>
      <c r="D105" s="4" t="s">
        <v>21</v>
      </c>
      <c r="E105" s="4">
        <v>30</v>
      </c>
      <c r="F105" s="4">
        <v>1773</v>
      </c>
      <c r="G105" s="4">
        <v>1117</v>
      </c>
      <c r="H105" s="5">
        <v>0.871</v>
      </c>
      <c r="I105" s="4">
        <v>6</v>
      </c>
      <c r="J105" s="4">
        <v>23</v>
      </c>
      <c r="L105" s="10">
        <f t="shared" si="4"/>
        <v>1</v>
      </c>
      <c r="M105" s="18">
        <v>1</v>
      </c>
      <c r="N105" s="10">
        <f t="shared" si="5"/>
        <v>1</v>
      </c>
      <c r="O105" s="10">
        <f t="shared" si="5"/>
        <v>1</v>
      </c>
      <c r="P105" s="10">
        <f t="shared" si="6"/>
        <v>4</v>
      </c>
      <c r="Q105" s="10" t="str">
        <f t="shared" si="7"/>
        <v>★★★★</v>
      </c>
    </row>
    <row r="106" spans="1:17" ht="20" thickBot="1" x14ac:dyDescent="0.3">
      <c r="A106" s="4" t="s">
        <v>283</v>
      </c>
      <c r="B106" s="4" t="s">
        <v>284</v>
      </c>
      <c r="C106" s="4" t="s">
        <v>116</v>
      </c>
      <c r="D106" s="4" t="s">
        <v>24</v>
      </c>
      <c r="E106" s="4">
        <v>23</v>
      </c>
      <c r="F106" s="4">
        <v>801</v>
      </c>
      <c r="G106" s="4">
        <v>365</v>
      </c>
      <c r="H106" s="5">
        <v>0.85299999999999998</v>
      </c>
      <c r="I106" s="4">
        <v>0</v>
      </c>
      <c r="J106" s="4">
        <v>6</v>
      </c>
      <c r="L106" s="10">
        <f t="shared" si="4"/>
        <v>0</v>
      </c>
      <c r="M106" s="18">
        <v>0</v>
      </c>
      <c r="N106" s="10">
        <f t="shared" si="5"/>
        <v>0</v>
      </c>
      <c r="O106" s="10">
        <f t="shared" si="5"/>
        <v>0</v>
      </c>
      <c r="P106" s="10">
        <f t="shared" si="6"/>
        <v>0</v>
      </c>
      <c r="Q106" s="10" t="str">
        <f t="shared" si="7"/>
        <v>☆</v>
      </c>
    </row>
    <row r="107" spans="1:17" ht="20" thickBot="1" x14ac:dyDescent="0.3">
      <c r="A107" s="4" t="s">
        <v>286</v>
      </c>
      <c r="B107" s="4" t="s">
        <v>287</v>
      </c>
      <c r="C107" s="4" t="s">
        <v>116</v>
      </c>
      <c r="D107" s="4" t="s">
        <v>15</v>
      </c>
      <c r="E107" s="4">
        <v>26</v>
      </c>
      <c r="F107" s="4">
        <v>1170</v>
      </c>
      <c r="G107" s="4">
        <v>651</v>
      </c>
      <c r="H107" s="5">
        <v>0.85799999999999998</v>
      </c>
      <c r="I107" s="4">
        <v>4</v>
      </c>
      <c r="J107" s="4">
        <v>16</v>
      </c>
      <c r="L107" s="10">
        <f t="shared" si="4"/>
        <v>0</v>
      </c>
      <c r="M107" s="18">
        <v>1</v>
      </c>
      <c r="N107" s="10">
        <f t="shared" si="5"/>
        <v>1</v>
      </c>
      <c r="O107" s="10">
        <f t="shared" si="5"/>
        <v>0.5</v>
      </c>
      <c r="P107" s="10">
        <f t="shared" si="6"/>
        <v>2.5</v>
      </c>
      <c r="Q107" s="10" t="str">
        <f t="shared" si="7"/>
        <v>★★½</v>
      </c>
    </row>
    <row r="108" spans="1:17" ht="20" thickBot="1" x14ac:dyDescent="0.3">
      <c r="A108" s="4" t="s">
        <v>291</v>
      </c>
      <c r="B108" s="4" t="s">
        <v>41</v>
      </c>
      <c r="C108" s="4" t="s">
        <v>116</v>
      </c>
      <c r="D108" s="4" t="s">
        <v>58</v>
      </c>
      <c r="E108" s="4">
        <v>31</v>
      </c>
      <c r="F108" s="4">
        <v>2070</v>
      </c>
      <c r="G108" s="4">
        <v>786</v>
      </c>
      <c r="H108" s="5">
        <v>0.78300000000000003</v>
      </c>
      <c r="I108" s="4">
        <v>3</v>
      </c>
      <c r="J108" s="4">
        <v>30</v>
      </c>
      <c r="L108" s="10">
        <f t="shared" si="4"/>
        <v>1</v>
      </c>
      <c r="M108" s="18">
        <v>0</v>
      </c>
      <c r="N108" s="10">
        <f t="shared" si="5"/>
        <v>0.5</v>
      </c>
      <c r="O108" s="10">
        <f t="shared" si="5"/>
        <v>1</v>
      </c>
      <c r="P108" s="10">
        <f t="shared" si="6"/>
        <v>2.5</v>
      </c>
      <c r="Q108" s="10" t="str">
        <f t="shared" si="7"/>
        <v>★★½</v>
      </c>
    </row>
    <row r="109" spans="1:17" ht="20" thickBot="1" x14ac:dyDescent="0.3">
      <c r="A109" s="4" t="s">
        <v>292</v>
      </c>
      <c r="B109" s="4" t="s">
        <v>62</v>
      </c>
      <c r="C109" s="4" t="s">
        <v>228</v>
      </c>
      <c r="D109" s="4" t="s">
        <v>58</v>
      </c>
      <c r="E109" s="4">
        <v>25</v>
      </c>
      <c r="F109" s="4">
        <v>1575</v>
      </c>
      <c r="G109" s="4">
        <v>531</v>
      </c>
      <c r="H109" s="7">
        <v>0.78</v>
      </c>
      <c r="I109" s="4">
        <v>0</v>
      </c>
      <c r="J109" s="4">
        <v>6</v>
      </c>
      <c r="L109" s="10">
        <f t="shared" si="4"/>
        <v>1</v>
      </c>
      <c r="M109" s="18">
        <v>0</v>
      </c>
      <c r="N109" s="10">
        <f t="shared" si="5"/>
        <v>0</v>
      </c>
      <c r="O109" s="10">
        <f t="shared" si="5"/>
        <v>0</v>
      </c>
      <c r="P109" s="10">
        <f t="shared" si="6"/>
        <v>1</v>
      </c>
      <c r="Q109" s="10" t="str">
        <f t="shared" si="7"/>
        <v>★</v>
      </c>
    </row>
    <row r="110" spans="1:17" ht="20" thickBot="1" x14ac:dyDescent="0.3">
      <c r="A110" s="4" t="s">
        <v>296</v>
      </c>
      <c r="B110" s="4" t="s">
        <v>72</v>
      </c>
      <c r="C110" s="4" t="s">
        <v>116</v>
      </c>
      <c r="D110" s="4" t="s">
        <v>30</v>
      </c>
      <c r="E110" s="4">
        <v>31</v>
      </c>
      <c r="F110" s="4">
        <v>1970.9999999999998</v>
      </c>
      <c r="G110" s="4">
        <v>657</v>
      </c>
      <c r="H110" s="5">
        <v>0.83299999999999996</v>
      </c>
      <c r="I110" s="4">
        <v>1</v>
      </c>
      <c r="J110" s="4">
        <v>4</v>
      </c>
      <c r="L110" s="10">
        <f t="shared" si="4"/>
        <v>1</v>
      </c>
      <c r="M110" s="18">
        <v>1</v>
      </c>
      <c r="N110" s="10">
        <f t="shared" si="5"/>
        <v>0</v>
      </c>
      <c r="O110" s="10">
        <f t="shared" si="5"/>
        <v>0</v>
      </c>
      <c r="P110" s="10">
        <f t="shared" si="6"/>
        <v>2</v>
      </c>
      <c r="Q110" s="10" t="str">
        <f t="shared" si="7"/>
        <v>★★</v>
      </c>
    </row>
    <row r="111" spans="1:17" ht="20" thickBot="1" x14ac:dyDescent="0.3">
      <c r="A111" s="4" t="s">
        <v>297</v>
      </c>
      <c r="B111" s="4" t="s">
        <v>298</v>
      </c>
      <c r="C111" s="4" t="s">
        <v>116</v>
      </c>
      <c r="D111" s="4" t="s">
        <v>21</v>
      </c>
      <c r="E111" s="4">
        <v>27</v>
      </c>
      <c r="F111" s="4">
        <v>1557</v>
      </c>
      <c r="G111" s="4">
        <v>1065</v>
      </c>
      <c r="H111" s="5">
        <v>0.89300000000000002</v>
      </c>
      <c r="I111" s="4">
        <v>7</v>
      </c>
      <c r="J111" s="4">
        <v>26</v>
      </c>
      <c r="L111" s="10">
        <f t="shared" si="4"/>
        <v>1</v>
      </c>
      <c r="M111" s="18">
        <v>1</v>
      </c>
      <c r="N111" s="10">
        <f t="shared" si="5"/>
        <v>1</v>
      </c>
      <c r="O111" s="10">
        <f t="shared" si="5"/>
        <v>1</v>
      </c>
      <c r="P111" s="10">
        <f t="shared" si="6"/>
        <v>4</v>
      </c>
      <c r="Q111" s="10" t="str">
        <f t="shared" si="7"/>
        <v>★★★★</v>
      </c>
    </row>
    <row r="112" spans="1:17" ht="20" thickBot="1" x14ac:dyDescent="0.3">
      <c r="A112" s="4" t="s">
        <v>300</v>
      </c>
      <c r="B112" s="4" t="s">
        <v>185</v>
      </c>
      <c r="C112" s="4" t="s">
        <v>116</v>
      </c>
      <c r="D112" s="4" t="s">
        <v>18</v>
      </c>
      <c r="E112" s="4">
        <v>23</v>
      </c>
      <c r="F112" s="4">
        <v>0</v>
      </c>
      <c r="G112" s="4">
        <v>0</v>
      </c>
      <c r="H112" s="7">
        <v>0</v>
      </c>
      <c r="I112" s="4">
        <v>0</v>
      </c>
      <c r="J112" s="4">
        <v>0</v>
      </c>
      <c r="L112" s="10">
        <f t="shared" si="4"/>
        <v>0</v>
      </c>
      <c r="M112" s="18">
        <v>0</v>
      </c>
      <c r="N112" s="10">
        <f t="shared" si="5"/>
        <v>0</v>
      </c>
      <c r="O112" s="10">
        <f t="shared" si="5"/>
        <v>0</v>
      </c>
      <c r="P112" s="10">
        <f t="shared" si="6"/>
        <v>0</v>
      </c>
      <c r="Q112" s="10" t="str">
        <f t="shared" si="7"/>
        <v>☆</v>
      </c>
    </row>
    <row r="113" spans="1:17" ht="20" thickBot="1" x14ac:dyDescent="0.3">
      <c r="A113" s="4" t="s">
        <v>301</v>
      </c>
      <c r="B113" s="4" t="s">
        <v>37</v>
      </c>
      <c r="C113" s="4" t="s">
        <v>116</v>
      </c>
      <c r="D113" s="4" t="s">
        <v>24</v>
      </c>
      <c r="E113" s="4">
        <v>34</v>
      </c>
      <c r="F113" s="4">
        <v>1917</v>
      </c>
      <c r="G113" s="4">
        <v>488</v>
      </c>
      <c r="H113" s="7">
        <v>0.7</v>
      </c>
      <c r="I113" s="4">
        <v>2</v>
      </c>
      <c r="J113" s="4">
        <v>10</v>
      </c>
      <c r="L113" s="10">
        <f t="shared" si="4"/>
        <v>1</v>
      </c>
      <c r="M113" s="18">
        <v>0</v>
      </c>
      <c r="N113" s="10">
        <f t="shared" si="5"/>
        <v>0.5</v>
      </c>
      <c r="O113" s="10">
        <f t="shared" si="5"/>
        <v>0</v>
      </c>
      <c r="P113" s="10">
        <f t="shared" si="6"/>
        <v>1.5</v>
      </c>
      <c r="Q113" s="10" t="str">
        <f t="shared" si="7"/>
        <v>★½</v>
      </c>
    </row>
    <row r="114" spans="1:17" ht="20" thickBot="1" x14ac:dyDescent="0.3">
      <c r="A114" s="4" t="s">
        <v>515</v>
      </c>
      <c r="B114" s="4" t="s">
        <v>75</v>
      </c>
      <c r="C114" s="4" t="s">
        <v>471</v>
      </c>
      <c r="D114" s="4" t="s">
        <v>65</v>
      </c>
      <c r="E114" s="4">
        <v>21</v>
      </c>
      <c r="F114" s="4">
        <v>1260</v>
      </c>
      <c r="G114" s="4">
        <v>389</v>
      </c>
      <c r="H114" s="5">
        <v>0.83799999999999997</v>
      </c>
      <c r="I114" s="4">
        <v>13</v>
      </c>
      <c r="J114" s="4">
        <v>26</v>
      </c>
      <c r="L114" s="10">
        <f t="shared" si="4"/>
        <v>0</v>
      </c>
      <c r="M114" s="18">
        <v>0</v>
      </c>
      <c r="N114" s="10">
        <f t="shared" si="5"/>
        <v>1</v>
      </c>
      <c r="O114" s="10">
        <f t="shared" si="5"/>
        <v>1</v>
      </c>
      <c r="P114" s="10">
        <f t="shared" si="6"/>
        <v>2</v>
      </c>
      <c r="Q114" s="10" t="str">
        <f t="shared" si="7"/>
        <v>★★</v>
      </c>
    </row>
    <row r="115" spans="1:17" ht="20" thickBot="1" x14ac:dyDescent="0.3">
      <c r="A115" s="4" t="s">
        <v>516</v>
      </c>
      <c r="B115" s="4" t="s">
        <v>17</v>
      </c>
      <c r="C115" s="4" t="s">
        <v>476</v>
      </c>
      <c r="D115" s="4" t="s">
        <v>63</v>
      </c>
      <c r="E115" s="4">
        <v>30</v>
      </c>
      <c r="F115" s="4">
        <v>1782</v>
      </c>
      <c r="G115" s="4">
        <v>350</v>
      </c>
      <c r="H115" s="5">
        <v>0.76800000000000002</v>
      </c>
      <c r="I115" s="4">
        <v>11</v>
      </c>
      <c r="J115" s="4">
        <v>24</v>
      </c>
      <c r="L115" s="10">
        <f t="shared" si="4"/>
        <v>1</v>
      </c>
      <c r="M115" s="18">
        <v>0</v>
      </c>
      <c r="N115" s="10">
        <f t="shared" si="5"/>
        <v>1</v>
      </c>
      <c r="O115" s="10">
        <f t="shared" si="5"/>
        <v>1</v>
      </c>
      <c r="P115" s="10">
        <f t="shared" si="6"/>
        <v>3</v>
      </c>
      <c r="Q115" s="10" t="str">
        <f t="shared" si="7"/>
        <v>★★★</v>
      </c>
    </row>
    <row r="116" spans="1:17" ht="20" thickBot="1" x14ac:dyDescent="0.3">
      <c r="A116" s="4" t="s">
        <v>302</v>
      </c>
      <c r="B116" s="4" t="s">
        <v>29</v>
      </c>
      <c r="C116" s="4" t="s">
        <v>116</v>
      </c>
      <c r="D116" s="4" t="s">
        <v>85</v>
      </c>
      <c r="E116" s="4">
        <v>33</v>
      </c>
      <c r="F116" s="4">
        <v>1557</v>
      </c>
      <c r="G116" s="4">
        <v>828</v>
      </c>
      <c r="H116" s="5">
        <v>0.874</v>
      </c>
      <c r="I116" s="4">
        <v>1</v>
      </c>
      <c r="J116" s="4">
        <v>8</v>
      </c>
      <c r="L116" s="10">
        <f t="shared" si="4"/>
        <v>1</v>
      </c>
      <c r="M116" s="18">
        <v>1</v>
      </c>
      <c r="N116" s="10">
        <f t="shared" si="5"/>
        <v>0</v>
      </c>
      <c r="O116" s="10">
        <f t="shared" si="5"/>
        <v>0</v>
      </c>
      <c r="P116" s="10">
        <f t="shared" si="6"/>
        <v>2</v>
      </c>
      <c r="Q116" s="10" t="str">
        <f t="shared" si="7"/>
        <v>★★</v>
      </c>
    </row>
    <row r="117" spans="1:17" ht="20" thickBot="1" x14ac:dyDescent="0.3">
      <c r="A117" s="4" t="s">
        <v>517</v>
      </c>
      <c r="B117" s="4" t="s">
        <v>32</v>
      </c>
      <c r="C117" s="4" t="s">
        <v>471</v>
      </c>
      <c r="D117" s="4" t="s">
        <v>18</v>
      </c>
      <c r="E117" s="4">
        <v>28</v>
      </c>
      <c r="F117" s="4">
        <v>1782</v>
      </c>
      <c r="G117" s="4">
        <v>1103</v>
      </c>
      <c r="H117" s="5">
        <v>0.90600000000000003</v>
      </c>
      <c r="I117" s="4">
        <v>8</v>
      </c>
      <c r="J117" s="4">
        <v>23</v>
      </c>
      <c r="L117" s="10">
        <f t="shared" si="4"/>
        <v>1</v>
      </c>
      <c r="M117" s="18">
        <v>1</v>
      </c>
      <c r="N117" s="10">
        <f t="shared" si="5"/>
        <v>1</v>
      </c>
      <c r="O117" s="10">
        <f t="shared" si="5"/>
        <v>1</v>
      </c>
      <c r="P117" s="10">
        <f t="shared" si="6"/>
        <v>4</v>
      </c>
      <c r="Q117" s="10" t="str">
        <f t="shared" si="7"/>
        <v>★★★★</v>
      </c>
    </row>
    <row r="118" spans="1:17" ht="20" thickBot="1" x14ac:dyDescent="0.3">
      <c r="A118" s="4" t="s">
        <v>307</v>
      </c>
      <c r="B118" s="4" t="s">
        <v>17</v>
      </c>
      <c r="C118" s="4" t="s">
        <v>116</v>
      </c>
      <c r="D118" s="4" t="s">
        <v>50</v>
      </c>
      <c r="E118" s="4">
        <v>28</v>
      </c>
      <c r="F118" s="4">
        <v>2268</v>
      </c>
      <c r="G118" s="4">
        <v>817</v>
      </c>
      <c r="H118" s="5">
        <v>0.79100000000000004</v>
      </c>
      <c r="I118" s="4">
        <v>1</v>
      </c>
      <c r="J118" s="4">
        <v>25</v>
      </c>
      <c r="L118" s="10">
        <f t="shared" si="4"/>
        <v>1</v>
      </c>
      <c r="M118" s="18">
        <v>1</v>
      </c>
      <c r="N118" s="10">
        <f t="shared" si="5"/>
        <v>0</v>
      </c>
      <c r="O118" s="10">
        <f t="shared" si="5"/>
        <v>1</v>
      </c>
      <c r="P118" s="10">
        <f t="shared" si="6"/>
        <v>3</v>
      </c>
      <c r="Q118" s="10" t="str">
        <f t="shared" si="7"/>
        <v>★★★</v>
      </c>
    </row>
    <row r="119" spans="1:17" ht="20" thickBot="1" x14ac:dyDescent="0.3">
      <c r="A119" s="4" t="s">
        <v>308</v>
      </c>
      <c r="B119" s="4" t="s">
        <v>29</v>
      </c>
      <c r="C119" s="4" t="s">
        <v>116</v>
      </c>
      <c r="D119" s="4" t="s">
        <v>53</v>
      </c>
      <c r="E119" s="4">
        <v>34</v>
      </c>
      <c r="F119" s="4">
        <v>1548</v>
      </c>
      <c r="G119" s="4">
        <v>254</v>
      </c>
      <c r="H119" s="5">
        <v>0.66100000000000003</v>
      </c>
      <c r="I119" s="4">
        <v>2</v>
      </c>
      <c r="J119" s="4">
        <v>10</v>
      </c>
      <c r="L119" s="10">
        <f t="shared" si="4"/>
        <v>1</v>
      </c>
      <c r="M119" s="18">
        <v>0</v>
      </c>
      <c r="N119" s="10">
        <f t="shared" si="5"/>
        <v>0.5</v>
      </c>
      <c r="O119" s="10">
        <f t="shared" si="5"/>
        <v>0</v>
      </c>
      <c r="P119" s="10">
        <f t="shared" si="6"/>
        <v>1.5</v>
      </c>
      <c r="Q119" s="10" t="str">
        <f t="shared" si="7"/>
        <v>★½</v>
      </c>
    </row>
    <row r="120" spans="1:17" ht="20" thickBot="1" x14ac:dyDescent="0.3">
      <c r="A120" s="4" t="s">
        <v>518</v>
      </c>
      <c r="B120" s="4" t="s">
        <v>29</v>
      </c>
      <c r="C120" s="4" t="s">
        <v>476</v>
      </c>
      <c r="D120" s="4" t="s">
        <v>47</v>
      </c>
      <c r="E120" s="4">
        <v>28</v>
      </c>
      <c r="F120" s="4">
        <v>368.99999999999994</v>
      </c>
      <c r="G120" s="4">
        <v>132</v>
      </c>
      <c r="H120" s="5">
        <v>0.85199999999999998</v>
      </c>
      <c r="I120" s="4">
        <v>2</v>
      </c>
      <c r="J120" s="4">
        <v>8</v>
      </c>
      <c r="L120" s="10">
        <f t="shared" si="4"/>
        <v>0</v>
      </c>
      <c r="M120" s="18">
        <v>0</v>
      </c>
      <c r="N120" s="10">
        <f t="shared" si="5"/>
        <v>0.5</v>
      </c>
      <c r="O120" s="10">
        <f t="shared" si="5"/>
        <v>0</v>
      </c>
      <c r="P120" s="10">
        <f t="shared" si="6"/>
        <v>0.5</v>
      </c>
      <c r="Q120" s="10" t="str">
        <f t="shared" si="7"/>
        <v>☆½</v>
      </c>
    </row>
    <row r="121" spans="1:17" ht="20" thickBot="1" x14ac:dyDescent="0.3">
      <c r="A121" s="4" t="s">
        <v>519</v>
      </c>
      <c r="B121" s="4" t="s">
        <v>32</v>
      </c>
      <c r="C121" s="4" t="s">
        <v>471</v>
      </c>
      <c r="D121" s="4" t="s">
        <v>65</v>
      </c>
      <c r="E121" s="4">
        <v>25</v>
      </c>
      <c r="F121" s="4">
        <v>234</v>
      </c>
      <c r="G121" s="4">
        <v>117</v>
      </c>
      <c r="H121" s="5">
        <v>0.79100000000000004</v>
      </c>
      <c r="I121" s="4">
        <v>0</v>
      </c>
      <c r="J121" s="4">
        <v>5</v>
      </c>
      <c r="L121" s="10">
        <f t="shared" si="4"/>
        <v>0</v>
      </c>
      <c r="M121" s="18">
        <v>0</v>
      </c>
      <c r="N121" s="10">
        <f t="shared" si="5"/>
        <v>0</v>
      </c>
      <c r="O121" s="10">
        <f t="shared" si="5"/>
        <v>0</v>
      </c>
      <c r="P121" s="10">
        <f t="shared" si="6"/>
        <v>0</v>
      </c>
      <c r="Q121" s="10" t="str">
        <f t="shared" si="7"/>
        <v>☆</v>
      </c>
    </row>
    <row r="122" spans="1:17" ht="20" thickBot="1" x14ac:dyDescent="0.3">
      <c r="A122" s="4" t="s">
        <v>313</v>
      </c>
      <c r="B122" s="4" t="s">
        <v>29</v>
      </c>
      <c r="C122" s="4" t="s">
        <v>228</v>
      </c>
      <c r="D122" s="4" t="s">
        <v>21</v>
      </c>
      <c r="E122" s="4">
        <v>25</v>
      </c>
      <c r="F122" s="4">
        <v>1395</v>
      </c>
      <c r="G122" s="4">
        <v>877</v>
      </c>
      <c r="H122" s="5">
        <v>0.90600000000000003</v>
      </c>
      <c r="I122" s="4">
        <v>2</v>
      </c>
      <c r="J122" s="4">
        <v>16</v>
      </c>
      <c r="L122" s="10">
        <f t="shared" si="4"/>
        <v>1</v>
      </c>
      <c r="M122" s="18">
        <v>1</v>
      </c>
      <c r="N122" s="10">
        <f t="shared" si="5"/>
        <v>0.5</v>
      </c>
      <c r="O122" s="10">
        <f t="shared" si="5"/>
        <v>0.5</v>
      </c>
      <c r="P122" s="10">
        <f t="shared" si="6"/>
        <v>3</v>
      </c>
      <c r="Q122" s="10" t="str">
        <f t="shared" si="7"/>
        <v>★★★</v>
      </c>
    </row>
    <row r="123" spans="1:17" ht="20" thickBot="1" x14ac:dyDescent="0.3">
      <c r="A123" s="4" t="s">
        <v>315</v>
      </c>
      <c r="B123" s="4" t="s">
        <v>29</v>
      </c>
      <c r="C123" s="4" t="s">
        <v>116</v>
      </c>
      <c r="D123" s="4" t="s">
        <v>35</v>
      </c>
      <c r="E123" s="4">
        <v>23</v>
      </c>
      <c r="F123" s="4">
        <v>1467</v>
      </c>
      <c r="G123" s="4">
        <v>491</v>
      </c>
      <c r="H123" s="7">
        <v>0.81</v>
      </c>
      <c r="I123" s="4">
        <v>2</v>
      </c>
      <c r="J123" s="4">
        <v>6</v>
      </c>
      <c r="L123" s="10">
        <f t="shared" si="4"/>
        <v>1</v>
      </c>
      <c r="M123" s="18">
        <v>1</v>
      </c>
      <c r="N123" s="10">
        <f t="shared" si="5"/>
        <v>0.5</v>
      </c>
      <c r="O123" s="10">
        <f t="shared" si="5"/>
        <v>0</v>
      </c>
      <c r="P123" s="10">
        <f t="shared" si="6"/>
        <v>2.5</v>
      </c>
      <c r="Q123" s="10" t="str">
        <f t="shared" si="7"/>
        <v>★★½</v>
      </c>
    </row>
    <row r="124" spans="1:17" ht="20" thickBot="1" x14ac:dyDescent="0.3">
      <c r="A124" s="4" t="s">
        <v>520</v>
      </c>
      <c r="B124" s="4" t="s">
        <v>219</v>
      </c>
      <c r="C124" s="4" t="s">
        <v>476</v>
      </c>
      <c r="D124" s="4" t="s">
        <v>87</v>
      </c>
      <c r="E124" s="4">
        <v>23</v>
      </c>
      <c r="F124" s="4">
        <v>1449.0000000000002</v>
      </c>
      <c r="G124" s="4">
        <v>418</v>
      </c>
      <c r="H124" s="7">
        <v>0.78</v>
      </c>
      <c r="I124" s="4">
        <v>6</v>
      </c>
      <c r="J124" s="4">
        <v>22</v>
      </c>
      <c r="L124" s="10">
        <f t="shared" si="4"/>
        <v>1</v>
      </c>
      <c r="M124" s="18">
        <v>0</v>
      </c>
      <c r="N124" s="10">
        <f t="shared" si="5"/>
        <v>1</v>
      </c>
      <c r="O124" s="10">
        <f t="shared" si="5"/>
        <v>1</v>
      </c>
      <c r="P124" s="10">
        <f t="shared" si="6"/>
        <v>3</v>
      </c>
      <c r="Q124" s="10" t="str">
        <f t="shared" si="7"/>
        <v>★★★</v>
      </c>
    </row>
    <row r="125" spans="1:17" ht="20" thickBot="1" x14ac:dyDescent="0.3">
      <c r="A125" s="4" t="s">
        <v>316</v>
      </c>
      <c r="B125" s="4" t="s">
        <v>317</v>
      </c>
      <c r="C125" s="4" t="s">
        <v>116</v>
      </c>
      <c r="D125" s="4" t="s">
        <v>24</v>
      </c>
      <c r="E125" s="4">
        <v>22</v>
      </c>
      <c r="F125" s="4">
        <v>1413</v>
      </c>
      <c r="G125" s="4">
        <v>536</v>
      </c>
      <c r="H125" s="5">
        <v>0.749</v>
      </c>
      <c r="I125" s="4">
        <v>0</v>
      </c>
      <c r="J125" s="4">
        <v>17</v>
      </c>
      <c r="L125" s="10">
        <f t="shared" si="4"/>
        <v>1</v>
      </c>
      <c r="M125" s="18">
        <v>0</v>
      </c>
      <c r="N125" s="10">
        <f t="shared" si="5"/>
        <v>0</v>
      </c>
      <c r="O125" s="10">
        <f t="shared" si="5"/>
        <v>0.5</v>
      </c>
      <c r="P125" s="10">
        <f t="shared" si="6"/>
        <v>1.5</v>
      </c>
      <c r="Q125" s="10" t="str">
        <f t="shared" si="7"/>
        <v>★½</v>
      </c>
    </row>
    <row r="126" spans="1:17" ht="20" thickBot="1" x14ac:dyDescent="0.3">
      <c r="A126" s="4" t="s">
        <v>319</v>
      </c>
      <c r="B126" s="4" t="s">
        <v>14</v>
      </c>
      <c r="C126" s="4" t="s">
        <v>116</v>
      </c>
      <c r="D126" s="4" t="s">
        <v>69</v>
      </c>
      <c r="E126" s="4">
        <v>23</v>
      </c>
      <c r="F126" s="4">
        <v>2718</v>
      </c>
      <c r="G126" s="4">
        <v>1246</v>
      </c>
      <c r="H126" s="5">
        <v>0.83299999999999996</v>
      </c>
      <c r="I126" s="4">
        <v>5</v>
      </c>
      <c r="J126" s="4">
        <v>36</v>
      </c>
      <c r="L126" s="10">
        <f t="shared" si="4"/>
        <v>1</v>
      </c>
      <c r="M126" s="18">
        <v>1</v>
      </c>
      <c r="N126" s="10">
        <f t="shared" si="5"/>
        <v>1</v>
      </c>
      <c r="O126" s="10">
        <f t="shared" si="5"/>
        <v>1</v>
      </c>
      <c r="P126" s="10">
        <f t="shared" si="6"/>
        <v>4</v>
      </c>
      <c r="Q126" s="10" t="str">
        <f t="shared" si="7"/>
        <v>★★★★</v>
      </c>
    </row>
    <row r="127" spans="1:17" ht="20" thickBot="1" x14ac:dyDescent="0.3">
      <c r="A127" s="4" t="s">
        <v>521</v>
      </c>
      <c r="B127" s="4" t="s">
        <v>32</v>
      </c>
      <c r="C127" s="4" t="s">
        <v>471</v>
      </c>
      <c r="D127" s="4" t="s">
        <v>85</v>
      </c>
      <c r="E127" s="4">
        <v>22</v>
      </c>
      <c r="F127" s="4">
        <v>2124</v>
      </c>
      <c r="G127" s="4">
        <v>874</v>
      </c>
      <c r="H127" s="7">
        <v>0.81</v>
      </c>
      <c r="I127" s="4">
        <v>7</v>
      </c>
      <c r="J127" s="4">
        <v>27</v>
      </c>
      <c r="L127" s="10">
        <f t="shared" si="4"/>
        <v>1</v>
      </c>
      <c r="M127" s="18">
        <v>1</v>
      </c>
      <c r="N127" s="10">
        <f t="shared" si="5"/>
        <v>1</v>
      </c>
      <c r="O127" s="10">
        <f t="shared" si="5"/>
        <v>1</v>
      </c>
      <c r="P127" s="10">
        <f t="shared" si="6"/>
        <v>4</v>
      </c>
      <c r="Q127" s="10" t="str">
        <f t="shared" si="7"/>
        <v>★★★★</v>
      </c>
    </row>
    <row r="128" spans="1:17" ht="20" thickBot="1" x14ac:dyDescent="0.3">
      <c r="A128" s="4" t="s">
        <v>522</v>
      </c>
      <c r="B128" s="4" t="s">
        <v>29</v>
      </c>
      <c r="C128" s="4" t="s">
        <v>471</v>
      </c>
      <c r="D128" s="4" t="s">
        <v>87</v>
      </c>
      <c r="E128" s="4">
        <v>24</v>
      </c>
      <c r="F128" s="4">
        <v>2457</v>
      </c>
      <c r="G128" s="4">
        <v>777</v>
      </c>
      <c r="H128" s="5">
        <v>0.72299999999999998</v>
      </c>
      <c r="I128" s="4">
        <v>20</v>
      </c>
      <c r="J128" s="4">
        <v>43</v>
      </c>
      <c r="L128" s="10">
        <f t="shared" si="4"/>
        <v>1</v>
      </c>
      <c r="M128" s="18">
        <v>0</v>
      </c>
      <c r="N128" s="10">
        <f t="shared" si="5"/>
        <v>1</v>
      </c>
      <c r="O128" s="10">
        <f t="shared" si="5"/>
        <v>1</v>
      </c>
      <c r="P128" s="10">
        <f t="shared" si="6"/>
        <v>3</v>
      </c>
      <c r="Q128" s="10" t="str">
        <f t="shared" si="7"/>
        <v>★★★</v>
      </c>
    </row>
    <row r="129" spans="1:17" ht="20" thickBot="1" x14ac:dyDescent="0.3">
      <c r="A129" s="4" t="s">
        <v>322</v>
      </c>
      <c r="B129" s="4" t="s">
        <v>29</v>
      </c>
      <c r="C129" s="4" t="s">
        <v>116</v>
      </c>
      <c r="D129" s="4" t="s">
        <v>63</v>
      </c>
      <c r="E129" s="4">
        <v>23</v>
      </c>
      <c r="F129" s="4">
        <v>270</v>
      </c>
      <c r="G129" s="4">
        <v>105</v>
      </c>
      <c r="H129" s="5">
        <v>0.77200000000000002</v>
      </c>
      <c r="I129" s="4">
        <v>0</v>
      </c>
      <c r="J129" s="4">
        <v>3</v>
      </c>
      <c r="L129" s="10">
        <f t="shared" si="4"/>
        <v>0</v>
      </c>
      <c r="M129" s="18">
        <v>0</v>
      </c>
      <c r="N129" s="10">
        <f t="shared" si="5"/>
        <v>0</v>
      </c>
      <c r="O129" s="10">
        <f t="shared" si="5"/>
        <v>0</v>
      </c>
      <c r="P129" s="10">
        <f t="shared" si="6"/>
        <v>0</v>
      </c>
      <c r="Q129" s="10" t="str">
        <f t="shared" si="7"/>
        <v>☆</v>
      </c>
    </row>
    <row r="130" spans="1:17" ht="20" thickBot="1" x14ac:dyDescent="0.3">
      <c r="A130" s="4" t="s">
        <v>523</v>
      </c>
      <c r="B130" s="4" t="s">
        <v>14</v>
      </c>
      <c r="C130" s="4" t="s">
        <v>476</v>
      </c>
      <c r="D130" s="4" t="s">
        <v>63</v>
      </c>
      <c r="E130" s="4">
        <v>20</v>
      </c>
      <c r="F130" s="4">
        <v>1863</v>
      </c>
      <c r="G130" s="4">
        <v>453</v>
      </c>
      <c r="H130" s="7">
        <v>0.74</v>
      </c>
      <c r="I130" s="4">
        <v>12</v>
      </c>
      <c r="J130" s="4">
        <v>34</v>
      </c>
      <c r="L130" s="10">
        <f t="shared" ref="L130:L193" si="8">IFERROR(_xlfn.IFS(F130&gt;=F$233,1,F130&gt;=F$232,0.5),0)</f>
        <v>1</v>
      </c>
      <c r="M130" s="18">
        <v>0</v>
      </c>
      <c r="N130" s="10">
        <f t="shared" ref="N130:O193" si="9">IFERROR(_xlfn.IFS(I130&gt;=I$233,1,I130&gt;=I$232,0.5),0)</f>
        <v>1</v>
      </c>
      <c r="O130" s="10">
        <f t="shared" si="9"/>
        <v>1</v>
      </c>
      <c r="P130" s="10">
        <f t="shared" ref="P130:P193" si="10">SUM($L130:$O130)</f>
        <v>3</v>
      </c>
      <c r="Q130" s="10" t="str">
        <f t="shared" ref="Q130:Q193" si="11">_xlfn.IFS(P130=0,"☆",P130 =0.5,"☆½", P130=1,"★",P130 =1.5,"★½", P130 =2.5,"★★½", P130=2,"★★", P130=3,"★★★", P130 =3.5,"★★★½",P130=4,"★★★★", P130 =4.5,"★★★★½", P130=5,"★★★★★")</f>
        <v>★★★</v>
      </c>
    </row>
    <row r="131" spans="1:17" ht="20" thickBot="1" x14ac:dyDescent="0.3">
      <c r="A131" s="4" t="s">
        <v>329</v>
      </c>
      <c r="B131" s="4" t="s">
        <v>20</v>
      </c>
      <c r="C131" s="4" t="s">
        <v>116</v>
      </c>
      <c r="D131" s="4" t="s">
        <v>47</v>
      </c>
      <c r="E131" s="4">
        <v>33</v>
      </c>
      <c r="F131" s="4">
        <v>234</v>
      </c>
      <c r="G131" s="4">
        <v>182</v>
      </c>
      <c r="H131" s="5">
        <v>0.86299999999999999</v>
      </c>
      <c r="I131" s="4">
        <v>0</v>
      </c>
      <c r="J131" s="4">
        <v>2</v>
      </c>
      <c r="L131" s="10">
        <f t="shared" si="8"/>
        <v>0</v>
      </c>
      <c r="M131" s="18">
        <v>0</v>
      </c>
      <c r="N131" s="10">
        <f t="shared" si="9"/>
        <v>0</v>
      </c>
      <c r="O131" s="10">
        <f t="shared" si="9"/>
        <v>0</v>
      </c>
      <c r="P131" s="10">
        <f t="shared" si="10"/>
        <v>0</v>
      </c>
      <c r="Q131" s="10" t="str">
        <f t="shared" si="11"/>
        <v>☆</v>
      </c>
    </row>
    <row r="132" spans="1:17" ht="20" thickBot="1" x14ac:dyDescent="0.3">
      <c r="A132" s="4" t="s">
        <v>330</v>
      </c>
      <c r="B132" s="4" t="s">
        <v>331</v>
      </c>
      <c r="C132" s="4" t="s">
        <v>116</v>
      </c>
      <c r="D132" s="4" t="s">
        <v>47</v>
      </c>
      <c r="E132" s="4">
        <v>32</v>
      </c>
      <c r="F132" s="4">
        <v>1386</v>
      </c>
      <c r="G132" s="4">
        <v>881</v>
      </c>
      <c r="H132" s="5">
        <v>0.872</v>
      </c>
      <c r="I132" s="4">
        <v>4</v>
      </c>
      <c r="J132" s="4">
        <v>13</v>
      </c>
      <c r="L132" s="10">
        <f t="shared" si="8"/>
        <v>1</v>
      </c>
      <c r="M132" s="18">
        <v>1</v>
      </c>
      <c r="N132" s="10">
        <f t="shared" si="9"/>
        <v>1</v>
      </c>
      <c r="O132" s="10">
        <f t="shared" si="9"/>
        <v>0.5</v>
      </c>
      <c r="P132" s="10">
        <f t="shared" si="10"/>
        <v>3.5</v>
      </c>
      <c r="Q132" s="10" t="str">
        <f t="shared" si="11"/>
        <v>★★★½</v>
      </c>
    </row>
    <row r="133" spans="1:17" ht="20" thickBot="1" x14ac:dyDescent="0.3">
      <c r="A133" s="4" t="s">
        <v>334</v>
      </c>
      <c r="B133" s="4" t="s">
        <v>127</v>
      </c>
      <c r="C133" s="4" t="s">
        <v>116</v>
      </c>
      <c r="D133" s="4" t="s">
        <v>30</v>
      </c>
      <c r="E133" s="4">
        <v>33</v>
      </c>
      <c r="F133" s="4">
        <v>1440</v>
      </c>
      <c r="G133" s="4">
        <v>772</v>
      </c>
      <c r="H133" s="5">
        <v>0.83299999999999996</v>
      </c>
      <c r="I133" s="4">
        <v>3</v>
      </c>
      <c r="J133" s="4">
        <v>15</v>
      </c>
      <c r="L133" s="10">
        <f t="shared" si="8"/>
        <v>1</v>
      </c>
      <c r="M133" s="18">
        <v>1</v>
      </c>
      <c r="N133" s="10">
        <f t="shared" si="9"/>
        <v>0.5</v>
      </c>
      <c r="O133" s="10">
        <f t="shared" si="9"/>
        <v>0.5</v>
      </c>
      <c r="P133" s="10">
        <f t="shared" si="10"/>
        <v>3</v>
      </c>
      <c r="Q133" s="10" t="str">
        <f t="shared" si="11"/>
        <v>★★★</v>
      </c>
    </row>
    <row r="134" spans="1:17" ht="20" thickBot="1" x14ac:dyDescent="0.3">
      <c r="A134" s="4" t="s">
        <v>524</v>
      </c>
      <c r="B134" s="4" t="s">
        <v>29</v>
      </c>
      <c r="C134" s="4" t="s">
        <v>471</v>
      </c>
      <c r="D134" s="4" t="s">
        <v>39</v>
      </c>
      <c r="E134" s="4">
        <v>18</v>
      </c>
      <c r="F134" s="4">
        <v>18</v>
      </c>
      <c r="G134" s="4">
        <v>9</v>
      </c>
      <c r="H134" s="5">
        <v>0.69199999999999995</v>
      </c>
      <c r="I134" s="4">
        <v>0</v>
      </c>
      <c r="J134" s="4">
        <v>0</v>
      </c>
      <c r="L134" s="10">
        <f t="shared" si="8"/>
        <v>0</v>
      </c>
      <c r="M134" s="18">
        <v>0</v>
      </c>
      <c r="N134" s="10">
        <f t="shared" si="9"/>
        <v>0</v>
      </c>
      <c r="O134" s="10">
        <f t="shared" si="9"/>
        <v>0</v>
      </c>
      <c r="P134" s="10">
        <f t="shared" si="10"/>
        <v>0</v>
      </c>
      <c r="Q134" s="10" t="str">
        <f t="shared" si="11"/>
        <v>☆</v>
      </c>
    </row>
    <row r="135" spans="1:17" ht="20" thickBot="1" x14ac:dyDescent="0.3">
      <c r="A135" s="4" t="s">
        <v>335</v>
      </c>
      <c r="B135" s="4" t="s">
        <v>127</v>
      </c>
      <c r="C135" s="4" t="s">
        <v>116</v>
      </c>
      <c r="D135" s="4" t="s">
        <v>69</v>
      </c>
      <c r="E135" s="4">
        <v>26</v>
      </c>
      <c r="F135" s="4">
        <v>3086.9999999999995</v>
      </c>
      <c r="G135" s="4">
        <v>1004</v>
      </c>
      <c r="H135" s="7">
        <v>0.75</v>
      </c>
      <c r="I135" s="4">
        <v>7</v>
      </c>
      <c r="J135" s="4">
        <v>53</v>
      </c>
      <c r="L135" s="10">
        <f t="shared" si="8"/>
        <v>1</v>
      </c>
      <c r="M135" s="18">
        <v>0</v>
      </c>
      <c r="N135" s="10">
        <f t="shared" si="9"/>
        <v>1</v>
      </c>
      <c r="O135" s="10">
        <f t="shared" si="9"/>
        <v>1</v>
      </c>
      <c r="P135" s="10">
        <f t="shared" si="10"/>
        <v>3</v>
      </c>
      <c r="Q135" s="10" t="str">
        <f t="shared" si="11"/>
        <v>★★★</v>
      </c>
    </row>
    <row r="136" spans="1:17" ht="20" thickBot="1" x14ac:dyDescent="0.3">
      <c r="A136" s="4" t="s">
        <v>336</v>
      </c>
      <c r="B136" s="4" t="s">
        <v>127</v>
      </c>
      <c r="C136" s="4" t="s">
        <v>116</v>
      </c>
      <c r="D136" s="4" t="s">
        <v>58</v>
      </c>
      <c r="E136" s="4">
        <v>18</v>
      </c>
      <c r="F136" s="4">
        <v>0</v>
      </c>
      <c r="G136" s="4">
        <v>3</v>
      </c>
      <c r="H136" s="7">
        <v>0.75</v>
      </c>
      <c r="I136" s="4">
        <v>0</v>
      </c>
      <c r="J136" s="4">
        <v>0</v>
      </c>
      <c r="L136" s="10">
        <f t="shared" si="8"/>
        <v>0</v>
      </c>
      <c r="M136" s="18">
        <v>0</v>
      </c>
      <c r="N136" s="10">
        <f t="shared" si="9"/>
        <v>0</v>
      </c>
      <c r="O136" s="10">
        <f t="shared" si="9"/>
        <v>0</v>
      </c>
      <c r="P136" s="10">
        <f t="shared" si="10"/>
        <v>0</v>
      </c>
      <c r="Q136" s="10" t="str">
        <f t="shared" si="11"/>
        <v>☆</v>
      </c>
    </row>
    <row r="137" spans="1:17" ht="20" thickBot="1" x14ac:dyDescent="0.3">
      <c r="A137" s="4" t="s">
        <v>337</v>
      </c>
      <c r="B137" s="4" t="s">
        <v>127</v>
      </c>
      <c r="C137" s="4" t="s">
        <v>116</v>
      </c>
      <c r="D137" s="4" t="s">
        <v>50</v>
      </c>
      <c r="E137" s="4">
        <v>29</v>
      </c>
      <c r="F137" s="4">
        <v>2709</v>
      </c>
      <c r="G137" s="4">
        <v>782</v>
      </c>
      <c r="H137" s="5">
        <v>0.73799999999999999</v>
      </c>
      <c r="I137" s="4">
        <v>1</v>
      </c>
      <c r="J137" s="4">
        <v>8</v>
      </c>
      <c r="L137" s="10">
        <f t="shared" si="8"/>
        <v>1</v>
      </c>
      <c r="M137" s="18">
        <v>0</v>
      </c>
      <c r="N137" s="10">
        <f t="shared" si="9"/>
        <v>0</v>
      </c>
      <c r="O137" s="10">
        <f t="shared" si="9"/>
        <v>0</v>
      </c>
      <c r="P137" s="10">
        <f t="shared" si="10"/>
        <v>1</v>
      </c>
      <c r="Q137" s="10" t="str">
        <f t="shared" si="11"/>
        <v>★</v>
      </c>
    </row>
    <row r="138" spans="1:17" ht="20" thickBot="1" x14ac:dyDescent="0.3">
      <c r="A138" s="4" t="s">
        <v>338</v>
      </c>
      <c r="B138" s="4" t="s">
        <v>29</v>
      </c>
      <c r="C138" s="4" t="s">
        <v>116</v>
      </c>
      <c r="D138" s="4" t="s">
        <v>53</v>
      </c>
      <c r="E138" s="4">
        <v>21</v>
      </c>
      <c r="F138" s="4">
        <v>3105</v>
      </c>
      <c r="G138" s="4">
        <v>798</v>
      </c>
      <c r="H138" s="5">
        <v>0.69399999999999995</v>
      </c>
      <c r="I138" s="4">
        <v>1</v>
      </c>
      <c r="J138" s="4">
        <v>47</v>
      </c>
      <c r="L138" s="10">
        <f t="shared" si="8"/>
        <v>1</v>
      </c>
      <c r="M138" s="18">
        <v>0</v>
      </c>
      <c r="N138" s="10">
        <f t="shared" si="9"/>
        <v>0</v>
      </c>
      <c r="O138" s="10">
        <f t="shared" si="9"/>
        <v>1</v>
      </c>
      <c r="P138" s="10">
        <f t="shared" si="10"/>
        <v>2</v>
      </c>
      <c r="Q138" s="10" t="str">
        <f t="shared" si="11"/>
        <v>★★</v>
      </c>
    </row>
    <row r="139" spans="1:17" ht="20" thickBot="1" x14ac:dyDescent="0.3">
      <c r="A139" s="4" t="s">
        <v>339</v>
      </c>
      <c r="B139" s="4" t="s">
        <v>127</v>
      </c>
      <c r="C139" s="4" t="s">
        <v>116</v>
      </c>
      <c r="D139" s="4" t="s">
        <v>47</v>
      </c>
      <c r="E139" s="4">
        <v>24</v>
      </c>
      <c r="F139" s="4">
        <v>2385</v>
      </c>
      <c r="G139" s="4">
        <v>1059</v>
      </c>
      <c r="H139" s="7">
        <v>0.85</v>
      </c>
      <c r="I139" s="4">
        <v>2</v>
      </c>
      <c r="J139" s="4">
        <v>19</v>
      </c>
      <c r="L139" s="10">
        <f t="shared" si="8"/>
        <v>1</v>
      </c>
      <c r="M139" s="18">
        <v>1</v>
      </c>
      <c r="N139" s="10">
        <f t="shared" si="9"/>
        <v>0.5</v>
      </c>
      <c r="O139" s="10">
        <f t="shared" si="9"/>
        <v>1</v>
      </c>
      <c r="P139" s="10">
        <f t="shared" si="10"/>
        <v>3.5</v>
      </c>
      <c r="Q139" s="10" t="str">
        <f t="shared" si="11"/>
        <v>★★★½</v>
      </c>
    </row>
    <row r="140" spans="1:17" ht="20" thickBot="1" x14ac:dyDescent="0.3">
      <c r="A140" s="4" t="s">
        <v>342</v>
      </c>
      <c r="B140" s="4" t="s">
        <v>72</v>
      </c>
      <c r="C140" s="4" t="s">
        <v>116</v>
      </c>
      <c r="D140" s="4" t="s">
        <v>87</v>
      </c>
      <c r="E140" s="4">
        <v>29</v>
      </c>
      <c r="F140" s="4">
        <v>1035</v>
      </c>
      <c r="G140" s="4">
        <v>602</v>
      </c>
      <c r="H140" s="5">
        <v>0.92600000000000005</v>
      </c>
      <c r="I140" s="4">
        <v>0</v>
      </c>
      <c r="J140" s="4">
        <v>1</v>
      </c>
      <c r="L140" s="10">
        <f t="shared" si="8"/>
        <v>0</v>
      </c>
      <c r="M140" s="18">
        <v>1</v>
      </c>
      <c r="N140" s="10">
        <f t="shared" si="9"/>
        <v>0</v>
      </c>
      <c r="O140" s="10">
        <f t="shared" si="9"/>
        <v>0</v>
      </c>
      <c r="P140" s="10">
        <f t="shared" si="10"/>
        <v>1</v>
      </c>
      <c r="Q140" s="10" t="str">
        <f t="shared" si="11"/>
        <v>★</v>
      </c>
    </row>
    <row r="141" spans="1:17" ht="20" thickBot="1" x14ac:dyDescent="0.3">
      <c r="A141" s="4" t="s">
        <v>343</v>
      </c>
      <c r="B141" s="4" t="s">
        <v>331</v>
      </c>
      <c r="C141" s="4" t="s">
        <v>116</v>
      </c>
      <c r="D141" s="4" t="s">
        <v>30</v>
      </c>
      <c r="E141" s="4">
        <v>30</v>
      </c>
      <c r="F141" s="4">
        <v>774</v>
      </c>
      <c r="G141" s="4">
        <v>387</v>
      </c>
      <c r="H141" s="5">
        <v>0.79800000000000004</v>
      </c>
      <c r="I141" s="4">
        <v>0</v>
      </c>
      <c r="J141" s="4">
        <v>10</v>
      </c>
      <c r="L141" s="10">
        <f t="shared" si="8"/>
        <v>0</v>
      </c>
      <c r="M141" s="18">
        <v>0</v>
      </c>
      <c r="N141" s="10">
        <f t="shared" si="9"/>
        <v>0</v>
      </c>
      <c r="O141" s="10">
        <f t="shared" si="9"/>
        <v>0</v>
      </c>
      <c r="P141" s="10">
        <f t="shared" si="10"/>
        <v>0</v>
      </c>
      <c r="Q141" s="10" t="str">
        <f t="shared" si="11"/>
        <v>☆</v>
      </c>
    </row>
    <row r="142" spans="1:17" ht="20" thickBot="1" x14ac:dyDescent="0.3">
      <c r="A142" s="4" t="s">
        <v>344</v>
      </c>
      <c r="B142" s="4" t="s">
        <v>29</v>
      </c>
      <c r="C142" s="4" t="s">
        <v>228</v>
      </c>
      <c r="D142" s="4" t="s">
        <v>15</v>
      </c>
      <c r="E142" s="4">
        <v>35</v>
      </c>
      <c r="F142" s="4">
        <v>855</v>
      </c>
      <c r="G142" s="4">
        <v>623</v>
      </c>
      <c r="H142" s="5">
        <v>0.83199999999999996</v>
      </c>
      <c r="I142" s="4">
        <v>1</v>
      </c>
      <c r="J142" s="4">
        <v>20</v>
      </c>
      <c r="L142" s="10">
        <f t="shared" si="8"/>
        <v>0</v>
      </c>
      <c r="M142" s="18">
        <v>1</v>
      </c>
      <c r="N142" s="10">
        <f t="shared" si="9"/>
        <v>0</v>
      </c>
      <c r="O142" s="10">
        <f t="shared" si="9"/>
        <v>1</v>
      </c>
      <c r="P142" s="10">
        <f t="shared" si="10"/>
        <v>2</v>
      </c>
      <c r="Q142" s="10" t="str">
        <f t="shared" si="11"/>
        <v>★★</v>
      </c>
    </row>
    <row r="143" spans="1:17" ht="20" thickBot="1" x14ac:dyDescent="0.3">
      <c r="A143" s="4" t="s">
        <v>525</v>
      </c>
      <c r="B143" s="4" t="s">
        <v>434</v>
      </c>
      <c r="C143" s="4" t="s">
        <v>476</v>
      </c>
      <c r="D143" s="4" t="s">
        <v>15</v>
      </c>
      <c r="E143" s="4">
        <v>26</v>
      </c>
      <c r="F143" s="4">
        <v>189</v>
      </c>
      <c r="G143" s="4">
        <v>63</v>
      </c>
      <c r="H143" s="7">
        <v>0.84</v>
      </c>
      <c r="I143" s="4">
        <v>3</v>
      </c>
      <c r="J143" s="4">
        <v>2</v>
      </c>
      <c r="L143" s="10">
        <f t="shared" si="8"/>
        <v>0</v>
      </c>
      <c r="M143" s="18">
        <v>0</v>
      </c>
      <c r="N143" s="10">
        <f t="shared" si="9"/>
        <v>0.5</v>
      </c>
      <c r="O143" s="10">
        <f t="shared" si="9"/>
        <v>0</v>
      </c>
      <c r="P143" s="10">
        <f t="shared" si="10"/>
        <v>0.5</v>
      </c>
      <c r="Q143" s="10" t="str">
        <f t="shared" si="11"/>
        <v>☆½</v>
      </c>
    </row>
    <row r="144" spans="1:17" ht="20" thickBot="1" x14ac:dyDescent="0.3">
      <c r="A144" s="4" t="s">
        <v>526</v>
      </c>
      <c r="B144" s="4" t="s">
        <v>41</v>
      </c>
      <c r="C144" s="4" t="s">
        <v>471</v>
      </c>
      <c r="D144" s="4" t="s">
        <v>85</v>
      </c>
      <c r="E144" s="4">
        <v>22</v>
      </c>
      <c r="F144" s="4">
        <v>1700.9999999999998</v>
      </c>
      <c r="G144" s="4">
        <v>591</v>
      </c>
      <c r="H144" s="5">
        <v>0.73299999999999998</v>
      </c>
      <c r="I144" s="4">
        <v>3</v>
      </c>
      <c r="J144" s="4">
        <v>14</v>
      </c>
      <c r="L144" s="10">
        <f t="shared" si="8"/>
        <v>1</v>
      </c>
      <c r="M144" s="18">
        <v>0</v>
      </c>
      <c r="N144" s="10">
        <f t="shared" si="9"/>
        <v>0.5</v>
      </c>
      <c r="O144" s="10">
        <f t="shared" si="9"/>
        <v>0.5</v>
      </c>
      <c r="P144" s="10">
        <f t="shared" si="10"/>
        <v>2</v>
      </c>
      <c r="Q144" s="10" t="str">
        <f t="shared" si="11"/>
        <v>★★</v>
      </c>
    </row>
    <row r="145" spans="1:17" ht="20" thickBot="1" x14ac:dyDescent="0.3">
      <c r="A145" s="4" t="s">
        <v>348</v>
      </c>
      <c r="B145" s="4" t="s">
        <v>29</v>
      </c>
      <c r="C145" s="4" t="s">
        <v>116</v>
      </c>
      <c r="D145" s="4" t="s">
        <v>15</v>
      </c>
      <c r="E145" s="4">
        <v>18</v>
      </c>
      <c r="F145" s="4">
        <v>62.999999999999993</v>
      </c>
      <c r="G145" s="4">
        <v>32</v>
      </c>
      <c r="H145" s="5">
        <v>0.86499999999999999</v>
      </c>
      <c r="I145" s="4">
        <v>0</v>
      </c>
      <c r="J145" s="4">
        <v>0</v>
      </c>
      <c r="L145" s="10">
        <f t="shared" si="8"/>
        <v>0</v>
      </c>
      <c r="M145" s="18">
        <v>0</v>
      </c>
      <c r="N145" s="10">
        <f t="shared" si="9"/>
        <v>0</v>
      </c>
      <c r="O145" s="10">
        <f t="shared" si="9"/>
        <v>0</v>
      </c>
      <c r="P145" s="10">
        <f t="shared" si="10"/>
        <v>0</v>
      </c>
      <c r="Q145" s="10" t="str">
        <f t="shared" si="11"/>
        <v>☆</v>
      </c>
    </row>
    <row r="146" spans="1:17" ht="20" thickBot="1" x14ac:dyDescent="0.3">
      <c r="A146" s="4" t="s">
        <v>527</v>
      </c>
      <c r="B146" s="4" t="s">
        <v>29</v>
      </c>
      <c r="C146" s="4" t="s">
        <v>471</v>
      </c>
      <c r="D146" s="4" t="s">
        <v>21</v>
      </c>
      <c r="E146" s="4">
        <v>22</v>
      </c>
      <c r="F146" s="4">
        <v>2367</v>
      </c>
      <c r="G146" s="4">
        <v>991</v>
      </c>
      <c r="H146" s="5">
        <v>0.77900000000000003</v>
      </c>
      <c r="I146" s="4">
        <v>21</v>
      </c>
      <c r="J146" s="4">
        <v>58</v>
      </c>
      <c r="L146" s="10">
        <f t="shared" si="8"/>
        <v>1</v>
      </c>
      <c r="M146" s="18">
        <v>0</v>
      </c>
      <c r="N146" s="10">
        <f t="shared" si="9"/>
        <v>1</v>
      </c>
      <c r="O146" s="10">
        <f t="shared" si="9"/>
        <v>1</v>
      </c>
      <c r="P146" s="10">
        <f t="shared" si="10"/>
        <v>3</v>
      </c>
      <c r="Q146" s="10" t="str">
        <f t="shared" si="11"/>
        <v>★★★</v>
      </c>
    </row>
    <row r="147" spans="1:17" ht="20" thickBot="1" x14ac:dyDescent="0.3">
      <c r="A147" s="4" t="s">
        <v>528</v>
      </c>
      <c r="B147" s="4" t="s">
        <v>14</v>
      </c>
      <c r="C147" s="4" t="s">
        <v>476</v>
      </c>
      <c r="D147" s="4" t="s">
        <v>65</v>
      </c>
      <c r="E147" s="4">
        <v>28</v>
      </c>
      <c r="F147" s="4">
        <v>1773</v>
      </c>
      <c r="G147" s="4">
        <v>576</v>
      </c>
      <c r="H147" s="5">
        <v>0.753</v>
      </c>
      <c r="I147" s="4">
        <v>8</v>
      </c>
      <c r="J147" s="4">
        <v>33</v>
      </c>
      <c r="L147" s="10">
        <f t="shared" si="8"/>
        <v>1</v>
      </c>
      <c r="M147" s="18">
        <v>0</v>
      </c>
      <c r="N147" s="10">
        <f t="shared" si="9"/>
        <v>1</v>
      </c>
      <c r="O147" s="10">
        <f t="shared" si="9"/>
        <v>1</v>
      </c>
      <c r="P147" s="10">
        <f t="shared" si="10"/>
        <v>3</v>
      </c>
      <c r="Q147" s="10" t="str">
        <f t="shared" si="11"/>
        <v>★★★</v>
      </c>
    </row>
    <row r="148" spans="1:17" ht="20" thickBot="1" x14ac:dyDescent="0.3">
      <c r="A148" s="4" t="s">
        <v>349</v>
      </c>
      <c r="B148" s="4" t="s">
        <v>83</v>
      </c>
      <c r="C148" s="4" t="s">
        <v>116</v>
      </c>
      <c r="D148" s="4" t="s">
        <v>81</v>
      </c>
      <c r="E148" s="4">
        <v>34</v>
      </c>
      <c r="F148" s="4">
        <v>2970</v>
      </c>
      <c r="G148" s="4">
        <v>1671</v>
      </c>
      <c r="H148" s="5">
        <v>0.84299999999999997</v>
      </c>
      <c r="I148" s="4">
        <v>3</v>
      </c>
      <c r="J148" s="4">
        <v>38</v>
      </c>
      <c r="L148" s="10">
        <f t="shared" si="8"/>
        <v>1</v>
      </c>
      <c r="M148" s="18">
        <v>2</v>
      </c>
      <c r="N148" s="10">
        <f t="shared" si="9"/>
        <v>0.5</v>
      </c>
      <c r="O148" s="10">
        <f t="shared" si="9"/>
        <v>1</v>
      </c>
      <c r="P148" s="10">
        <f t="shared" si="10"/>
        <v>4.5</v>
      </c>
      <c r="Q148" s="10" t="str">
        <f t="shared" si="11"/>
        <v>★★★★½</v>
      </c>
    </row>
    <row r="149" spans="1:17" ht="20" thickBot="1" x14ac:dyDescent="0.3">
      <c r="A149" s="4" t="s">
        <v>529</v>
      </c>
      <c r="B149" s="4" t="s">
        <v>530</v>
      </c>
      <c r="C149" s="4" t="s">
        <v>471</v>
      </c>
      <c r="D149" s="4" t="s">
        <v>85</v>
      </c>
      <c r="E149" s="4">
        <v>23</v>
      </c>
      <c r="F149" s="4">
        <v>999</v>
      </c>
      <c r="G149" s="4">
        <v>300</v>
      </c>
      <c r="H149" s="5">
        <v>0.754</v>
      </c>
      <c r="I149" s="4">
        <v>6</v>
      </c>
      <c r="J149" s="4">
        <v>8</v>
      </c>
      <c r="L149" s="10">
        <f t="shared" si="8"/>
        <v>0</v>
      </c>
      <c r="M149" s="18">
        <v>0</v>
      </c>
      <c r="N149" s="10">
        <f t="shared" si="9"/>
        <v>1</v>
      </c>
      <c r="O149" s="10">
        <f t="shared" si="9"/>
        <v>0</v>
      </c>
      <c r="P149" s="10">
        <f t="shared" si="10"/>
        <v>1</v>
      </c>
      <c r="Q149" s="10" t="str">
        <f t="shared" si="11"/>
        <v>★</v>
      </c>
    </row>
    <row r="150" spans="1:17" ht="20" thickBot="1" x14ac:dyDescent="0.3">
      <c r="A150" s="4" t="s">
        <v>354</v>
      </c>
      <c r="B150" s="4" t="s">
        <v>355</v>
      </c>
      <c r="C150" s="4" t="s">
        <v>116</v>
      </c>
      <c r="D150" s="4" t="s">
        <v>69</v>
      </c>
      <c r="E150" s="4">
        <v>27</v>
      </c>
      <c r="F150" s="4">
        <v>900</v>
      </c>
      <c r="G150" s="4">
        <v>319</v>
      </c>
      <c r="H150" s="5">
        <v>0.85299999999999998</v>
      </c>
      <c r="I150" s="4">
        <v>0</v>
      </c>
      <c r="J150" s="4">
        <v>3</v>
      </c>
      <c r="L150" s="10">
        <f t="shared" si="8"/>
        <v>0</v>
      </c>
      <c r="M150" s="18">
        <v>0</v>
      </c>
      <c r="N150" s="10">
        <f t="shared" si="9"/>
        <v>0</v>
      </c>
      <c r="O150" s="10">
        <f t="shared" si="9"/>
        <v>0</v>
      </c>
      <c r="P150" s="10">
        <f t="shared" si="10"/>
        <v>0</v>
      </c>
      <c r="Q150" s="10" t="str">
        <f t="shared" si="11"/>
        <v>☆</v>
      </c>
    </row>
    <row r="151" spans="1:17" ht="20" thickBot="1" x14ac:dyDescent="0.3">
      <c r="A151" s="4" t="s">
        <v>356</v>
      </c>
      <c r="B151" s="4" t="s">
        <v>219</v>
      </c>
      <c r="C151" s="4" t="s">
        <v>228</v>
      </c>
      <c r="D151" s="4" t="s">
        <v>87</v>
      </c>
      <c r="E151" s="4">
        <v>24</v>
      </c>
      <c r="F151" s="4">
        <v>1620</v>
      </c>
      <c r="G151" s="4">
        <v>757</v>
      </c>
      <c r="H151" s="5">
        <v>0.82399999999999995</v>
      </c>
      <c r="I151" s="4">
        <v>0</v>
      </c>
      <c r="J151" s="4">
        <v>0</v>
      </c>
      <c r="L151" s="10">
        <f t="shared" si="8"/>
        <v>1</v>
      </c>
      <c r="M151" s="18">
        <v>1</v>
      </c>
      <c r="N151" s="10">
        <f t="shared" si="9"/>
        <v>0</v>
      </c>
      <c r="O151" s="10">
        <f t="shared" si="9"/>
        <v>0</v>
      </c>
      <c r="P151" s="10">
        <f t="shared" si="10"/>
        <v>2</v>
      </c>
      <c r="Q151" s="10" t="str">
        <f t="shared" si="11"/>
        <v>★★</v>
      </c>
    </row>
    <row r="152" spans="1:17" ht="20" thickBot="1" x14ac:dyDescent="0.3">
      <c r="A152" s="4" t="s">
        <v>357</v>
      </c>
      <c r="B152" s="4" t="s">
        <v>17</v>
      </c>
      <c r="C152" s="4" t="s">
        <v>116</v>
      </c>
      <c r="D152" s="4" t="s">
        <v>65</v>
      </c>
      <c r="E152" s="4">
        <v>24</v>
      </c>
      <c r="F152" s="4">
        <v>486.00000000000006</v>
      </c>
      <c r="G152" s="4">
        <v>228</v>
      </c>
      <c r="H152" s="5">
        <v>0.86399999999999999</v>
      </c>
      <c r="I152" s="4">
        <v>2</v>
      </c>
      <c r="J152" s="4">
        <v>4</v>
      </c>
      <c r="L152" s="10">
        <f t="shared" si="8"/>
        <v>0</v>
      </c>
      <c r="M152" s="18">
        <v>0</v>
      </c>
      <c r="N152" s="10">
        <f t="shared" si="9"/>
        <v>0.5</v>
      </c>
      <c r="O152" s="10">
        <f t="shared" si="9"/>
        <v>0</v>
      </c>
      <c r="P152" s="10">
        <f t="shared" si="10"/>
        <v>0.5</v>
      </c>
      <c r="Q152" s="10" t="str">
        <f t="shared" si="11"/>
        <v>☆½</v>
      </c>
    </row>
    <row r="153" spans="1:17" ht="20" thickBot="1" x14ac:dyDescent="0.3">
      <c r="A153" s="4" t="s">
        <v>531</v>
      </c>
      <c r="B153" s="4" t="s">
        <v>83</v>
      </c>
      <c r="C153" s="4" t="s">
        <v>476</v>
      </c>
      <c r="D153" s="4" t="s">
        <v>81</v>
      </c>
      <c r="E153" s="4">
        <v>21</v>
      </c>
      <c r="F153" s="4">
        <v>468</v>
      </c>
      <c r="G153" s="4">
        <v>171</v>
      </c>
      <c r="H153" s="7">
        <v>0.75</v>
      </c>
      <c r="I153" s="4">
        <v>2</v>
      </c>
      <c r="J153" s="4">
        <v>13</v>
      </c>
      <c r="L153" s="10">
        <f t="shared" si="8"/>
        <v>0</v>
      </c>
      <c r="M153" s="18">
        <v>0</v>
      </c>
      <c r="N153" s="10">
        <f t="shared" si="9"/>
        <v>0.5</v>
      </c>
      <c r="O153" s="10">
        <f t="shared" si="9"/>
        <v>0.5</v>
      </c>
      <c r="P153" s="10">
        <f t="shared" si="10"/>
        <v>1</v>
      </c>
      <c r="Q153" s="10" t="str">
        <f t="shared" si="11"/>
        <v>★</v>
      </c>
    </row>
    <row r="154" spans="1:17" ht="20" thickBot="1" x14ac:dyDescent="0.3">
      <c r="A154" s="4" t="s">
        <v>358</v>
      </c>
      <c r="B154" s="4" t="s">
        <v>83</v>
      </c>
      <c r="C154" s="4" t="s">
        <v>116</v>
      </c>
      <c r="D154" s="4" t="s">
        <v>81</v>
      </c>
      <c r="E154" s="4">
        <v>24</v>
      </c>
      <c r="F154" s="4">
        <v>2664</v>
      </c>
      <c r="G154" s="4">
        <v>1593</v>
      </c>
      <c r="H154" s="5">
        <v>0.82799999999999996</v>
      </c>
      <c r="I154" s="4">
        <v>6</v>
      </c>
      <c r="J154" s="4">
        <v>23</v>
      </c>
      <c r="L154" s="10">
        <f t="shared" si="8"/>
        <v>1</v>
      </c>
      <c r="M154" s="18">
        <v>2</v>
      </c>
      <c r="N154" s="10">
        <f t="shared" si="9"/>
        <v>1</v>
      </c>
      <c r="O154" s="10">
        <f t="shared" si="9"/>
        <v>1</v>
      </c>
      <c r="P154" s="10">
        <f t="shared" si="10"/>
        <v>5</v>
      </c>
      <c r="Q154" s="10" t="str">
        <f t="shared" si="11"/>
        <v>★★★★★</v>
      </c>
    </row>
    <row r="155" spans="1:17" ht="20" thickBot="1" x14ac:dyDescent="0.3">
      <c r="A155" s="4" t="s">
        <v>360</v>
      </c>
      <c r="B155" s="4" t="s">
        <v>20</v>
      </c>
      <c r="C155" s="4" t="s">
        <v>228</v>
      </c>
      <c r="D155" s="4" t="s">
        <v>21</v>
      </c>
      <c r="E155" s="4">
        <v>26</v>
      </c>
      <c r="F155" s="4">
        <v>477</v>
      </c>
      <c r="G155" s="4">
        <v>302</v>
      </c>
      <c r="H155" s="5">
        <v>0.86799999999999999</v>
      </c>
      <c r="I155" s="4">
        <v>0</v>
      </c>
      <c r="J155" s="4">
        <v>3</v>
      </c>
      <c r="L155" s="10">
        <f t="shared" si="8"/>
        <v>0</v>
      </c>
      <c r="M155" s="18">
        <v>0</v>
      </c>
      <c r="N155" s="10">
        <f t="shared" si="9"/>
        <v>0</v>
      </c>
      <c r="O155" s="10">
        <f t="shared" si="9"/>
        <v>0</v>
      </c>
      <c r="P155" s="10">
        <f t="shared" si="10"/>
        <v>0</v>
      </c>
      <c r="Q155" s="10" t="str">
        <f t="shared" si="11"/>
        <v>☆</v>
      </c>
    </row>
    <row r="156" spans="1:17" ht="20" thickBot="1" x14ac:dyDescent="0.3">
      <c r="A156" s="4" t="s">
        <v>362</v>
      </c>
      <c r="B156" s="4" t="s">
        <v>29</v>
      </c>
      <c r="C156" s="4" t="s">
        <v>116</v>
      </c>
      <c r="D156" s="4" t="s">
        <v>18</v>
      </c>
      <c r="E156" s="4">
        <v>34</v>
      </c>
      <c r="F156" s="4">
        <v>333</v>
      </c>
      <c r="G156" s="4">
        <v>249</v>
      </c>
      <c r="H156" s="5">
        <v>0.90200000000000002</v>
      </c>
      <c r="I156" s="4">
        <v>1</v>
      </c>
      <c r="J156" s="4">
        <v>2</v>
      </c>
      <c r="L156" s="10">
        <f t="shared" si="8"/>
        <v>0</v>
      </c>
      <c r="M156" s="18">
        <v>0</v>
      </c>
      <c r="N156" s="10">
        <f t="shared" si="9"/>
        <v>0</v>
      </c>
      <c r="O156" s="10">
        <f t="shared" si="9"/>
        <v>0</v>
      </c>
      <c r="P156" s="10">
        <f t="shared" si="10"/>
        <v>0</v>
      </c>
      <c r="Q156" s="10" t="str">
        <f t="shared" si="11"/>
        <v>☆</v>
      </c>
    </row>
    <row r="157" spans="1:17" ht="20" thickBot="1" x14ac:dyDescent="0.3">
      <c r="A157" s="4" t="s">
        <v>363</v>
      </c>
      <c r="B157" s="4" t="s">
        <v>67</v>
      </c>
      <c r="C157" s="4" t="s">
        <v>116</v>
      </c>
      <c r="D157" s="4" t="s">
        <v>43</v>
      </c>
      <c r="E157" s="4">
        <v>27</v>
      </c>
      <c r="F157" s="4">
        <v>3051</v>
      </c>
      <c r="G157" s="4">
        <v>1319</v>
      </c>
      <c r="H157" s="5">
        <v>0.79800000000000004</v>
      </c>
      <c r="I157" s="4">
        <v>7</v>
      </c>
      <c r="J157" s="4">
        <v>29</v>
      </c>
      <c r="L157" s="10">
        <f t="shared" si="8"/>
        <v>1</v>
      </c>
      <c r="M157" s="18">
        <v>2</v>
      </c>
      <c r="N157" s="10">
        <f t="shared" si="9"/>
        <v>1</v>
      </c>
      <c r="O157" s="10">
        <f t="shared" si="9"/>
        <v>1</v>
      </c>
      <c r="P157" s="10">
        <f t="shared" si="10"/>
        <v>5</v>
      </c>
      <c r="Q157" s="10" t="str">
        <f t="shared" si="11"/>
        <v>★★★★★</v>
      </c>
    </row>
    <row r="158" spans="1:17" ht="20" thickBot="1" x14ac:dyDescent="0.3">
      <c r="A158" s="4" t="s">
        <v>364</v>
      </c>
      <c r="B158" s="4" t="s">
        <v>57</v>
      </c>
      <c r="C158" s="4" t="s">
        <v>116</v>
      </c>
      <c r="D158" s="4" t="s">
        <v>50</v>
      </c>
      <c r="E158" s="4">
        <v>25</v>
      </c>
      <c r="F158" s="4">
        <v>1647</v>
      </c>
      <c r="G158" s="4">
        <v>537</v>
      </c>
      <c r="H158" s="7">
        <v>0.69</v>
      </c>
      <c r="I158" s="4">
        <v>3</v>
      </c>
      <c r="J158" s="4">
        <v>13</v>
      </c>
      <c r="L158" s="10">
        <f t="shared" si="8"/>
        <v>1</v>
      </c>
      <c r="M158" s="18">
        <v>0</v>
      </c>
      <c r="N158" s="10">
        <f t="shared" si="9"/>
        <v>0.5</v>
      </c>
      <c r="O158" s="10">
        <f t="shared" si="9"/>
        <v>0.5</v>
      </c>
      <c r="P158" s="10">
        <f t="shared" si="10"/>
        <v>2</v>
      </c>
      <c r="Q158" s="10" t="str">
        <f t="shared" si="11"/>
        <v>★★</v>
      </c>
    </row>
    <row r="159" spans="1:17" ht="20" thickBot="1" x14ac:dyDescent="0.3">
      <c r="A159" s="4" t="s">
        <v>365</v>
      </c>
      <c r="B159" s="4" t="s">
        <v>57</v>
      </c>
      <c r="C159" s="4" t="s">
        <v>116</v>
      </c>
      <c r="D159" s="4" t="s">
        <v>63</v>
      </c>
      <c r="E159" s="4">
        <v>22</v>
      </c>
      <c r="F159" s="4">
        <v>2781</v>
      </c>
      <c r="G159" s="4">
        <v>1355</v>
      </c>
      <c r="H159" s="5">
        <v>0.84799999999999998</v>
      </c>
      <c r="I159" s="4">
        <v>11</v>
      </c>
      <c r="J159" s="4">
        <v>76</v>
      </c>
      <c r="L159" s="10">
        <f t="shared" si="8"/>
        <v>1</v>
      </c>
      <c r="M159" s="18">
        <v>2</v>
      </c>
      <c r="N159" s="10">
        <f t="shared" si="9"/>
        <v>1</v>
      </c>
      <c r="O159" s="10">
        <f t="shared" si="9"/>
        <v>1</v>
      </c>
      <c r="P159" s="10">
        <f t="shared" si="10"/>
        <v>5</v>
      </c>
      <c r="Q159" s="10" t="str">
        <f t="shared" si="11"/>
        <v>★★★★★</v>
      </c>
    </row>
    <row r="160" spans="1:17" ht="20" thickBot="1" x14ac:dyDescent="0.3">
      <c r="A160" s="4" t="s">
        <v>532</v>
      </c>
      <c r="B160" s="4" t="s">
        <v>17</v>
      </c>
      <c r="C160" s="4" t="s">
        <v>476</v>
      </c>
      <c r="D160" s="4" t="s">
        <v>30</v>
      </c>
      <c r="E160" s="4">
        <v>19</v>
      </c>
      <c r="F160" s="4">
        <v>1143</v>
      </c>
      <c r="G160" s="4">
        <v>464</v>
      </c>
      <c r="H160" s="5">
        <v>0.72499999999999998</v>
      </c>
      <c r="I160" s="4">
        <v>7</v>
      </c>
      <c r="J160" s="4">
        <v>24</v>
      </c>
      <c r="L160" s="10">
        <f t="shared" si="8"/>
        <v>0</v>
      </c>
      <c r="M160" s="18">
        <v>0</v>
      </c>
      <c r="N160" s="10">
        <f t="shared" si="9"/>
        <v>1</v>
      </c>
      <c r="O160" s="10">
        <f t="shared" si="9"/>
        <v>1</v>
      </c>
      <c r="P160" s="10">
        <f t="shared" si="10"/>
        <v>2</v>
      </c>
      <c r="Q160" s="10" t="str">
        <f t="shared" si="11"/>
        <v>★★</v>
      </c>
    </row>
    <row r="161" spans="1:17" ht="20" thickBot="1" x14ac:dyDescent="0.3">
      <c r="A161" s="4" t="s">
        <v>533</v>
      </c>
      <c r="B161" s="4" t="s">
        <v>29</v>
      </c>
      <c r="C161" s="4" t="s">
        <v>471</v>
      </c>
      <c r="D161" s="4" t="s">
        <v>27</v>
      </c>
      <c r="E161" s="4">
        <v>18</v>
      </c>
      <c r="F161" s="4">
        <v>27</v>
      </c>
      <c r="G161" s="4">
        <v>0</v>
      </c>
      <c r="H161" s="7">
        <v>0</v>
      </c>
      <c r="I161" s="4">
        <v>0</v>
      </c>
      <c r="J161" s="4">
        <v>0</v>
      </c>
      <c r="L161" s="10">
        <f t="shared" si="8"/>
        <v>0</v>
      </c>
      <c r="M161" s="18">
        <v>0</v>
      </c>
      <c r="N161" s="10">
        <f t="shared" si="9"/>
        <v>0</v>
      </c>
      <c r="O161" s="10">
        <f t="shared" si="9"/>
        <v>0</v>
      </c>
      <c r="P161" s="10">
        <f t="shared" si="10"/>
        <v>0</v>
      </c>
      <c r="Q161" s="10" t="str">
        <f t="shared" si="11"/>
        <v>☆</v>
      </c>
    </row>
    <row r="162" spans="1:17" ht="20" thickBot="1" x14ac:dyDescent="0.3">
      <c r="A162" s="4" t="s">
        <v>368</v>
      </c>
      <c r="B162" s="4" t="s">
        <v>219</v>
      </c>
      <c r="C162" s="4" t="s">
        <v>116</v>
      </c>
      <c r="D162" s="4" t="s">
        <v>43</v>
      </c>
      <c r="E162" s="4">
        <v>23</v>
      </c>
      <c r="F162" s="4">
        <v>1044</v>
      </c>
      <c r="G162" s="4">
        <v>260</v>
      </c>
      <c r="H162" s="5">
        <v>0.79800000000000004</v>
      </c>
      <c r="I162" s="4">
        <v>0</v>
      </c>
      <c r="J162" s="4">
        <v>4</v>
      </c>
      <c r="L162" s="10">
        <f t="shared" si="8"/>
        <v>0</v>
      </c>
      <c r="M162" s="18">
        <v>0</v>
      </c>
      <c r="N162" s="10">
        <f t="shared" si="9"/>
        <v>0</v>
      </c>
      <c r="O162" s="10">
        <f t="shared" si="9"/>
        <v>0</v>
      </c>
      <c r="P162" s="10">
        <f t="shared" si="10"/>
        <v>0</v>
      </c>
      <c r="Q162" s="10" t="str">
        <f t="shared" si="11"/>
        <v>☆</v>
      </c>
    </row>
    <row r="163" spans="1:17" ht="20" thickBot="1" x14ac:dyDescent="0.3">
      <c r="A163" s="4" t="s">
        <v>534</v>
      </c>
      <c r="B163" s="4" t="s">
        <v>29</v>
      </c>
      <c r="C163" s="4" t="s">
        <v>471</v>
      </c>
      <c r="D163" s="4" t="s">
        <v>15</v>
      </c>
      <c r="E163" s="4">
        <v>27</v>
      </c>
      <c r="F163" s="4">
        <v>782.99999999999989</v>
      </c>
      <c r="G163" s="4">
        <v>318</v>
      </c>
      <c r="H163" s="5">
        <v>0.78900000000000003</v>
      </c>
      <c r="I163" s="4">
        <v>3</v>
      </c>
      <c r="J163" s="4">
        <v>9</v>
      </c>
      <c r="L163" s="10">
        <f t="shared" si="8"/>
        <v>0</v>
      </c>
      <c r="M163" s="18">
        <v>0</v>
      </c>
      <c r="N163" s="10">
        <f t="shared" si="9"/>
        <v>0.5</v>
      </c>
      <c r="O163" s="10">
        <f t="shared" si="9"/>
        <v>0</v>
      </c>
      <c r="P163" s="10">
        <f t="shared" si="10"/>
        <v>0.5</v>
      </c>
      <c r="Q163" s="10" t="str">
        <f t="shared" si="11"/>
        <v>☆½</v>
      </c>
    </row>
    <row r="164" spans="1:17" ht="20" thickBot="1" x14ac:dyDescent="0.3">
      <c r="A164" s="4" t="s">
        <v>535</v>
      </c>
      <c r="B164" s="4" t="s">
        <v>29</v>
      </c>
      <c r="C164" s="4" t="s">
        <v>476</v>
      </c>
      <c r="D164" s="4" t="s">
        <v>39</v>
      </c>
      <c r="E164" s="4">
        <v>19</v>
      </c>
      <c r="F164" s="4">
        <v>125.99999999999999</v>
      </c>
      <c r="G164" s="4">
        <v>45</v>
      </c>
      <c r="H164" s="5">
        <v>0.84899999999999998</v>
      </c>
      <c r="I164" s="4">
        <v>0</v>
      </c>
      <c r="J164" s="4">
        <v>2</v>
      </c>
      <c r="L164" s="10">
        <f t="shared" si="8"/>
        <v>0</v>
      </c>
      <c r="M164" s="18">
        <v>0</v>
      </c>
      <c r="N164" s="10">
        <f t="shared" si="9"/>
        <v>0</v>
      </c>
      <c r="O164" s="10">
        <f t="shared" si="9"/>
        <v>0</v>
      </c>
      <c r="P164" s="10">
        <f t="shared" si="10"/>
        <v>0</v>
      </c>
      <c r="Q164" s="10" t="str">
        <f t="shared" si="11"/>
        <v>☆</v>
      </c>
    </row>
    <row r="165" spans="1:17" ht="20" thickBot="1" x14ac:dyDescent="0.3">
      <c r="A165" s="4" t="s">
        <v>370</v>
      </c>
      <c r="B165" s="4" t="s">
        <v>124</v>
      </c>
      <c r="C165" s="4" t="s">
        <v>116</v>
      </c>
      <c r="D165" s="4" t="s">
        <v>63</v>
      </c>
      <c r="E165" s="4">
        <v>28</v>
      </c>
      <c r="F165" s="4">
        <v>2025</v>
      </c>
      <c r="G165" s="4">
        <v>1016</v>
      </c>
      <c r="H165" s="5">
        <v>0.85899999999999999</v>
      </c>
      <c r="I165" s="4">
        <v>3</v>
      </c>
      <c r="J165" s="4">
        <v>18</v>
      </c>
      <c r="L165" s="10">
        <f t="shared" si="8"/>
        <v>1</v>
      </c>
      <c r="M165" s="18">
        <v>1</v>
      </c>
      <c r="N165" s="10">
        <f t="shared" si="9"/>
        <v>0.5</v>
      </c>
      <c r="O165" s="10">
        <f t="shared" si="9"/>
        <v>1</v>
      </c>
      <c r="P165" s="10">
        <f t="shared" si="10"/>
        <v>3.5</v>
      </c>
      <c r="Q165" s="10" t="str">
        <f t="shared" si="11"/>
        <v>★★★½</v>
      </c>
    </row>
    <row r="166" spans="1:17" ht="20" thickBot="1" x14ac:dyDescent="0.3">
      <c r="A166" s="4" t="s">
        <v>536</v>
      </c>
      <c r="B166" s="4" t="s">
        <v>133</v>
      </c>
      <c r="C166" s="4" t="s">
        <v>476</v>
      </c>
      <c r="D166" s="4" t="s">
        <v>63</v>
      </c>
      <c r="E166" s="4">
        <v>26</v>
      </c>
      <c r="F166" s="4">
        <v>693</v>
      </c>
      <c r="G166" s="4">
        <v>293</v>
      </c>
      <c r="H166" s="5">
        <v>0.80300000000000005</v>
      </c>
      <c r="I166" s="4">
        <v>3</v>
      </c>
      <c r="J166" s="4">
        <v>13</v>
      </c>
      <c r="L166" s="10">
        <f t="shared" si="8"/>
        <v>0</v>
      </c>
      <c r="M166" s="18">
        <v>0</v>
      </c>
      <c r="N166" s="10">
        <f t="shared" si="9"/>
        <v>0.5</v>
      </c>
      <c r="O166" s="10">
        <f t="shared" si="9"/>
        <v>0.5</v>
      </c>
      <c r="P166" s="10">
        <f t="shared" si="10"/>
        <v>1</v>
      </c>
      <c r="Q166" s="10" t="str">
        <f t="shared" si="11"/>
        <v>★</v>
      </c>
    </row>
    <row r="167" spans="1:17" ht="20" thickBot="1" x14ac:dyDescent="0.3">
      <c r="A167" s="4" t="s">
        <v>537</v>
      </c>
      <c r="B167" s="4" t="s">
        <v>20</v>
      </c>
      <c r="C167" s="4" t="s">
        <v>471</v>
      </c>
      <c r="D167" s="4" t="s">
        <v>87</v>
      </c>
      <c r="E167" s="4">
        <v>28</v>
      </c>
      <c r="F167" s="4">
        <v>441.00000000000006</v>
      </c>
      <c r="G167" s="4">
        <v>121</v>
      </c>
      <c r="H167" s="5">
        <v>0.78100000000000003</v>
      </c>
      <c r="I167" s="4">
        <v>5</v>
      </c>
      <c r="J167" s="4">
        <v>9</v>
      </c>
      <c r="L167" s="10">
        <f t="shared" si="8"/>
        <v>0</v>
      </c>
      <c r="M167" s="18">
        <v>0</v>
      </c>
      <c r="N167" s="10">
        <f t="shared" si="9"/>
        <v>1</v>
      </c>
      <c r="O167" s="10">
        <f t="shared" si="9"/>
        <v>0</v>
      </c>
      <c r="P167" s="10">
        <f t="shared" si="10"/>
        <v>1</v>
      </c>
      <c r="Q167" s="10" t="str">
        <f t="shared" si="11"/>
        <v>★</v>
      </c>
    </row>
    <row r="168" spans="1:17" ht="20" thickBot="1" x14ac:dyDescent="0.3">
      <c r="A168" s="4" t="s">
        <v>373</v>
      </c>
      <c r="B168" s="4" t="s">
        <v>29</v>
      </c>
      <c r="C168" s="4" t="s">
        <v>116</v>
      </c>
      <c r="D168" s="4" t="s">
        <v>58</v>
      </c>
      <c r="E168" s="4">
        <v>25</v>
      </c>
      <c r="F168" s="4">
        <v>1593</v>
      </c>
      <c r="G168" s="4">
        <v>769</v>
      </c>
      <c r="H168" s="5">
        <v>0.81499999999999995</v>
      </c>
      <c r="I168" s="4">
        <v>1</v>
      </c>
      <c r="J168" s="4">
        <v>8</v>
      </c>
      <c r="L168" s="10">
        <f t="shared" si="8"/>
        <v>1</v>
      </c>
      <c r="M168" s="18">
        <v>1</v>
      </c>
      <c r="N168" s="10">
        <f t="shared" si="9"/>
        <v>0</v>
      </c>
      <c r="O168" s="10">
        <f t="shared" si="9"/>
        <v>0</v>
      </c>
      <c r="P168" s="10">
        <f t="shared" si="10"/>
        <v>2</v>
      </c>
      <c r="Q168" s="10" t="str">
        <f t="shared" si="11"/>
        <v>★★</v>
      </c>
    </row>
    <row r="169" spans="1:17" ht="20" thickBot="1" x14ac:dyDescent="0.3">
      <c r="A169" s="4" t="s">
        <v>538</v>
      </c>
      <c r="B169" s="4" t="s">
        <v>41</v>
      </c>
      <c r="C169" s="4" t="s">
        <v>476</v>
      </c>
      <c r="D169" s="4" t="s">
        <v>50</v>
      </c>
      <c r="E169" s="4">
        <v>23</v>
      </c>
      <c r="F169" s="4">
        <v>503.99999999999994</v>
      </c>
      <c r="G169" s="4">
        <v>107</v>
      </c>
      <c r="H169" s="5">
        <v>0.68200000000000005</v>
      </c>
      <c r="I169" s="4">
        <v>0</v>
      </c>
      <c r="J169" s="4">
        <v>4</v>
      </c>
      <c r="L169" s="10">
        <f t="shared" si="8"/>
        <v>0</v>
      </c>
      <c r="M169" s="18">
        <v>0</v>
      </c>
      <c r="N169" s="10">
        <f t="shared" si="9"/>
        <v>0</v>
      </c>
      <c r="O169" s="10">
        <f t="shared" si="9"/>
        <v>0</v>
      </c>
      <c r="P169" s="10">
        <f t="shared" si="10"/>
        <v>0</v>
      </c>
      <c r="Q169" s="10" t="str">
        <f t="shared" si="11"/>
        <v>☆</v>
      </c>
    </row>
    <row r="170" spans="1:17" ht="20" thickBot="1" x14ac:dyDescent="0.3">
      <c r="A170" s="4" t="s">
        <v>539</v>
      </c>
      <c r="B170" s="4" t="s">
        <v>83</v>
      </c>
      <c r="C170" s="4" t="s">
        <v>476</v>
      </c>
      <c r="D170" s="4" t="s">
        <v>81</v>
      </c>
      <c r="E170" s="4">
        <v>25</v>
      </c>
      <c r="F170" s="4">
        <v>1485</v>
      </c>
      <c r="G170" s="4">
        <v>465</v>
      </c>
      <c r="H170" s="5">
        <v>0.73099999999999998</v>
      </c>
      <c r="I170" s="4">
        <v>5</v>
      </c>
      <c r="J170" s="4">
        <v>35</v>
      </c>
      <c r="L170" s="10">
        <f t="shared" si="8"/>
        <v>1</v>
      </c>
      <c r="M170" s="18">
        <v>0</v>
      </c>
      <c r="N170" s="10">
        <f t="shared" si="9"/>
        <v>1</v>
      </c>
      <c r="O170" s="10">
        <f t="shared" si="9"/>
        <v>1</v>
      </c>
      <c r="P170" s="10">
        <f t="shared" si="10"/>
        <v>3</v>
      </c>
      <c r="Q170" s="10" t="str">
        <f t="shared" si="11"/>
        <v>★★★</v>
      </c>
    </row>
    <row r="171" spans="1:17" ht="20" thickBot="1" x14ac:dyDescent="0.3">
      <c r="A171" s="4" t="s">
        <v>540</v>
      </c>
      <c r="B171" s="4" t="s">
        <v>17</v>
      </c>
      <c r="C171" s="4" t="s">
        <v>471</v>
      </c>
      <c r="D171" s="4" t="s">
        <v>47</v>
      </c>
      <c r="E171" s="4">
        <v>28</v>
      </c>
      <c r="F171" s="4">
        <v>1350</v>
      </c>
      <c r="G171" s="4">
        <v>738</v>
      </c>
      <c r="H171" s="7">
        <v>0.84</v>
      </c>
      <c r="I171" s="4">
        <v>10</v>
      </c>
      <c r="J171" s="4">
        <v>24</v>
      </c>
      <c r="L171" s="10">
        <f t="shared" si="8"/>
        <v>1</v>
      </c>
      <c r="M171" s="18">
        <v>1</v>
      </c>
      <c r="N171" s="10">
        <f t="shared" si="9"/>
        <v>1</v>
      </c>
      <c r="O171" s="10">
        <f t="shared" si="9"/>
        <v>1</v>
      </c>
      <c r="P171" s="10">
        <f t="shared" si="10"/>
        <v>4</v>
      </c>
      <c r="Q171" s="10" t="str">
        <f t="shared" si="11"/>
        <v>★★★★</v>
      </c>
    </row>
    <row r="172" spans="1:17" ht="20" thickBot="1" x14ac:dyDescent="0.3">
      <c r="A172" s="4" t="s">
        <v>377</v>
      </c>
      <c r="B172" s="4" t="s">
        <v>165</v>
      </c>
      <c r="C172" s="4" t="s">
        <v>116</v>
      </c>
      <c r="D172" s="4" t="s">
        <v>27</v>
      </c>
      <c r="E172" s="4">
        <v>17</v>
      </c>
      <c r="F172" s="4">
        <v>18</v>
      </c>
      <c r="G172" s="4">
        <v>1</v>
      </c>
      <c r="H172" s="7">
        <v>1</v>
      </c>
      <c r="I172" s="4">
        <v>0</v>
      </c>
      <c r="J172" s="4">
        <v>0</v>
      </c>
      <c r="L172" s="10">
        <f t="shared" si="8"/>
        <v>0</v>
      </c>
      <c r="M172" s="18">
        <v>0</v>
      </c>
      <c r="N172" s="10">
        <f t="shared" si="9"/>
        <v>0</v>
      </c>
      <c r="O172" s="10">
        <f t="shared" si="9"/>
        <v>0</v>
      </c>
      <c r="P172" s="10">
        <f t="shared" si="10"/>
        <v>0</v>
      </c>
      <c r="Q172" s="10" t="str">
        <f t="shared" si="11"/>
        <v>☆</v>
      </c>
    </row>
    <row r="173" spans="1:17" ht="20" thickBot="1" x14ac:dyDescent="0.3">
      <c r="A173" s="4" t="s">
        <v>541</v>
      </c>
      <c r="B173" s="4" t="s">
        <v>91</v>
      </c>
      <c r="C173" s="4" t="s">
        <v>471</v>
      </c>
      <c r="D173" s="4" t="s">
        <v>21</v>
      </c>
      <c r="E173" s="4">
        <v>22</v>
      </c>
      <c r="F173" s="4">
        <v>1287</v>
      </c>
      <c r="G173" s="4">
        <v>368</v>
      </c>
      <c r="H173" s="5">
        <v>0.79700000000000004</v>
      </c>
      <c r="I173" s="4">
        <v>8</v>
      </c>
      <c r="J173" s="4">
        <v>15</v>
      </c>
      <c r="L173" s="10">
        <f t="shared" si="8"/>
        <v>0.5</v>
      </c>
      <c r="M173" s="18">
        <v>0</v>
      </c>
      <c r="N173" s="10">
        <f t="shared" si="9"/>
        <v>1</v>
      </c>
      <c r="O173" s="10">
        <f t="shared" si="9"/>
        <v>0.5</v>
      </c>
      <c r="P173" s="10">
        <f t="shared" si="10"/>
        <v>2</v>
      </c>
      <c r="Q173" s="10" t="str">
        <f t="shared" si="11"/>
        <v>★★</v>
      </c>
    </row>
    <row r="174" spans="1:17" ht="20" thickBot="1" x14ac:dyDescent="0.3">
      <c r="A174" s="4" t="s">
        <v>542</v>
      </c>
      <c r="B174" s="4" t="s">
        <v>29</v>
      </c>
      <c r="C174" s="4" t="s">
        <v>476</v>
      </c>
      <c r="D174" s="4" t="s">
        <v>30</v>
      </c>
      <c r="E174" s="4">
        <v>18</v>
      </c>
      <c r="F174" s="4">
        <v>81</v>
      </c>
      <c r="G174" s="4">
        <v>25</v>
      </c>
      <c r="H174" s="5">
        <v>0.83299999999999996</v>
      </c>
      <c r="I174" s="4">
        <v>0</v>
      </c>
      <c r="J174" s="4">
        <v>0</v>
      </c>
      <c r="L174" s="10">
        <f t="shared" si="8"/>
        <v>0</v>
      </c>
      <c r="M174" s="18">
        <v>0</v>
      </c>
      <c r="N174" s="10">
        <f t="shared" si="9"/>
        <v>0</v>
      </c>
      <c r="O174" s="10">
        <f t="shared" si="9"/>
        <v>0</v>
      </c>
      <c r="P174" s="10">
        <f t="shared" si="10"/>
        <v>0</v>
      </c>
      <c r="Q174" s="10" t="str">
        <f t="shared" si="11"/>
        <v>☆</v>
      </c>
    </row>
    <row r="175" spans="1:17" ht="20" thickBot="1" x14ac:dyDescent="0.3">
      <c r="A175" s="4" t="s">
        <v>378</v>
      </c>
      <c r="B175" s="4" t="s">
        <v>29</v>
      </c>
      <c r="C175" s="4" t="s">
        <v>116</v>
      </c>
      <c r="D175" s="4" t="s">
        <v>69</v>
      </c>
      <c r="E175" s="4">
        <v>20</v>
      </c>
      <c r="F175" s="4">
        <v>2466</v>
      </c>
      <c r="G175" s="4">
        <v>898</v>
      </c>
      <c r="H175" s="5">
        <v>0.86199999999999999</v>
      </c>
      <c r="I175" s="4">
        <v>7</v>
      </c>
      <c r="J175" s="4">
        <v>19</v>
      </c>
      <c r="L175" s="10">
        <f t="shared" si="8"/>
        <v>1</v>
      </c>
      <c r="M175" s="18">
        <v>1</v>
      </c>
      <c r="N175" s="10">
        <f t="shared" si="9"/>
        <v>1</v>
      </c>
      <c r="O175" s="10">
        <f t="shared" si="9"/>
        <v>1</v>
      </c>
      <c r="P175" s="10">
        <f t="shared" si="10"/>
        <v>4</v>
      </c>
      <c r="Q175" s="10" t="str">
        <f t="shared" si="11"/>
        <v>★★★★</v>
      </c>
    </row>
    <row r="176" spans="1:17" ht="20" thickBot="1" x14ac:dyDescent="0.3">
      <c r="A176" s="4" t="s">
        <v>543</v>
      </c>
      <c r="B176" s="4" t="s">
        <v>14</v>
      </c>
      <c r="C176" s="4" t="s">
        <v>476</v>
      </c>
      <c r="D176" s="4" t="s">
        <v>58</v>
      </c>
      <c r="E176" s="4">
        <v>24</v>
      </c>
      <c r="F176" s="4">
        <v>2916</v>
      </c>
      <c r="G176" s="4">
        <v>817</v>
      </c>
      <c r="H176" s="5">
        <v>0.63800000000000001</v>
      </c>
      <c r="I176" s="4">
        <v>14</v>
      </c>
      <c r="J176" s="4">
        <v>65</v>
      </c>
      <c r="L176" s="10">
        <f t="shared" si="8"/>
        <v>1</v>
      </c>
      <c r="M176" s="18">
        <v>0</v>
      </c>
      <c r="N176" s="10">
        <f t="shared" si="9"/>
        <v>1</v>
      </c>
      <c r="O176" s="10">
        <f t="shared" si="9"/>
        <v>1</v>
      </c>
      <c r="P176" s="10">
        <f t="shared" si="10"/>
        <v>3</v>
      </c>
      <c r="Q176" s="10" t="str">
        <f t="shared" si="11"/>
        <v>★★★</v>
      </c>
    </row>
    <row r="177" spans="1:17" ht="20" thickBot="1" x14ac:dyDescent="0.3">
      <c r="A177" s="4" t="s">
        <v>544</v>
      </c>
      <c r="B177" s="4" t="s">
        <v>29</v>
      </c>
      <c r="C177" s="4" t="s">
        <v>476</v>
      </c>
      <c r="D177" s="4" t="s">
        <v>47</v>
      </c>
      <c r="E177" s="4">
        <v>23</v>
      </c>
      <c r="F177" s="4">
        <v>1233</v>
      </c>
      <c r="G177" s="4">
        <v>297</v>
      </c>
      <c r="H177" s="5">
        <v>0.70399999999999996</v>
      </c>
      <c r="I177" s="4">
        <v>6</v>
      </c>
      <c r="J177" s="4">
        <v>9</v>
      </c>
      <c r="L177" s="10">
        <f t="shared" si="8"/>
        <v>0</v>
      </c>
      <c r="M177" s="18">
        <v>0</v>
      </c>
      <c r="N177" s="10">
        <f t="shared" si="9"/>
        <v>1</v>
      </c>
      <c r="O177" s="10">
        <f t="shared" si="9"/>
        <v>0</v>
      </c>
      <c r="P177" s="10">
        <f t="shared" si="10"/>
        <v>1</v>
      </c>
      <c r="Q177" s="10" t="str">
        <f t="shared" si="11"/>
        <v>★</v>
      </c>
    </row>
    <row r="178" spans="1:17" ht="20" thickBot="1" x14ac:dyDescent="0.3">
      <c r="A178" s="4" t="s">
        <v>545</v>
      </c>
      <c r="B178" s="4" t="s">
        <v>546</v>
      </c>
      <c r="C178" s="4" t="s">
        <v>476</v>
      </c>
      <c r="D178" s="4" t="s">
        <v>50</v>
      </c>
      <c r="E178" s="4">
        <v>25</v>
      </c>
      <c r="F178" s="4">
        <v>2232</v>
      </c>
      <c r="G178" s="4">
        <v>376</v>
      </c>
      <c r="H178" s="7">
        <v>0.63</v>
      </c>
      <c r="I178" s="4">
        <v>3</v>
      </c>
      <c r="J178" s="4">
        <v>37</v>
      </c>
      <c r="L178" s="10">
        <f t="shared" si="8"/>
        <v>1</v>
      </c>
      <c r="M178" s="18">
        <v>0</v>
      </c>
      <c r="N178" s="10">
        <f t="shared" si="9"/>
        <v>0.5</v>
      </c>
      <c r="O178" s="10">
        <f t="shared" si="9"/>
        <v>1</v>
      </c>
      <c r="P178" s="10">
        <f t="shared" si="10"/>
        <v>2.5</v>
      </c>
      <c r="Q178" s="10" t="str">
        <f t="shared" si="11"/>
        <v>★★½</v>
      </c>
    </row>
    <row r="179" spans="1:17" ht="20" thickBot="1" x14ac:dyDescent="0.3">
      <c r="A179" s="4" t="s">
        <v>547</v>
      </c>
      <c r="B179" s="4" t="s">
        <v>29</v>
      </c>
      <c r="C179" s="4" t="s">
        <v>471</v>
      </c>
      <c r="D179" s="4" t="s">
        <v>33</v>
      </c>
      <c r="E179" s="4">
        <v>27</v>
      </c>
      <c r="F179" s="4">
        <v>1835.9999999999998</v>
      </c>
      <c r="G179" s="4">
        <v>511</v>
      </c>
      <c r="H179" s="5">
        <v>0.70399999999999996</v>
      </c>
      <c r="I179" s="4">
        <v>6</v>
      </c>
      <c r="J179" s="4">
        <v>34</v>
      </c>
      <c r="L179" s="10">
        <f t="shared" si="8"/>
        <v>1</v>
      </c>
      <c r="M179" s="18">
        <v>0</v>
      </c>
      <c r="N179" s="10">
        <f t="shared" si="9"/>
        <v>1</v>
      </c>
      <c r="O179" s="10">
        <f t="shared" si="9"/>
        <v>1</v>
      </c>
      <c r="P179" s="10">
        <f t="shared" si="10"/>
        <v>3</v>
      </c>
      <c r="Q179" s="10" t="str">
        <f t="shared" si="11"/>
        <v>★★★</v>
      </c>
    </row>
    <row r="180" spans="1:17" ht="20" thickBot="1" x14ac:dyDescent="0.3">
      <c r="A180" s="4" t="s">
        <v>380</v>
      </c>
      <c r="B180" s="4" t="s">
        <v>29</v>
      </c>
      <c r="C180" s="4" t="s">
        <v>116</v>
      </c>
      <c r="D180" s="4" t="s">
        <v>18</v>
      </c>
      <c r="E180" s="4">
        <v>22</v>
      </c>
      <c r="F180" s="4">
        <v>3176.9999999999995</v>
      </c>
      <c r="G180" s="4">
        <v>1950</v>
      </c>
      <c r="H180" s="5">
        <v>0.90700000000000003</v>
      </c>
      <c r="I180" s="4">
        <v>5</v>
      </c>
      <c r="J180" s="4">
        <v>24</v>
      </c>
      <c r="L180" s="10">
        <f t="shared" si="8"/>
        <v>1</v>
      </c>
      <c r="M180" s="18">
        <v>2</v>
      </c>
      <c r="N180" s="10">
        <f t="shared" si="9"/>
        <v>1</v>
      </c>
      <c r="O180" s="10">
        <f t="shared" si="9"/>
        <v>1</v>
      </c>
      <c r="P180" s="10">
        <f t="shared" si="10"/>
        <v>5</v>
      </c>
      <c r="Q180" s="10" t="str">
        <f t="shared" si="11"/>
        <v>★★★★★</v>
      </c>
    </row>
    <row r="181" spans="1:17" ht="20" thickBot="1" x14ac:dyDescent="0.3">
      <c r="A181" s="4" t="s">
        <v>548</v>
      </c>
      <c r="B181" s="4" t="s">
        <v>29</v>
      </c>
      <c r="C181" s="4" t="s">
        <v>471</v>
      </c>
      <c r="D181" s="4" t="s">
        <v>85</v>
      </c>
      <c r="E181" s="4">
        <v>20</v>
      </c>
      <c r="F181" s="4">
        <v>27</v>
      </c>
      <c r="G181" s="4">
        <v>23</v>
      </c>
      <c r="H181" s="5">
        <v>0.85199999999999998</v>
      </c>
      <c r="I181" s="4">
        <v>0</v>
      </c>
      <c r="J181" s="4">
        <v>0</v>
      </c>
      <c r="L181" s="10">
        <f t="shared" si="8"/>
        <v>0</v>
      </c>
      <c r="M181" s="18">
        <v>0</v>
      </c>
      <c r="N181" s="10">
        <f t="shared" si="9"/>
        <v>0</v>
      </c>
      <c r="O181" s="10">
        <f t="shared" si="9"/>
        <v>0</v>
      </c>
      <c r="P181" s="10">
        <f t="shared" si="10"/>
        <v>0</v>
      </c>
      <c r="Q181" s="10" t="str">
        <f t="shared" si="11"/>
        <v>☆</v>
      </c>
    </row>
    <row r="182" spans="1:17" ht="20" thickBot="1" x14ac:dyDescent="0.3">
      <c r="A182" s="4" t="s">
        <v>549</v>
      </c>
      <c r="B182" s="4" t="s">
        <v>14</v>
      </c>
      <c r="C182" s="4" t="s">
        <v>476</v>
      </c>
      <c r="D182" s="4" t="s">
        <v>27</v>
      </c>
      <c r="E182" s="4">
        <v>24</v>
      </c>
      <c r="F182" s="4">
        <v>2520</v>
      </c>
      <c r="G182" s="4">
        <v>352</v>
      </c>
      <c r="H182" s="5">
        <v>0.61799999999999999</v>
      </c>
      <c r="I182" s="4">
        <v>15</v>
      </c>
      <c r="J182" s="4">
        <v>26</v>
      </c>
      <c r="L182" s="10">
        <f t="shared" si="8"/>
        <v>1</v>
      </c>
      <c r="M182" s="18">
        <v>0</v>
      </c>
      <c r="N182" s="10">
        <f t="shared" si="9"/>
        <v>1</v>
      </c>
      <c r="O182" s="10">
        <f t="shared" si="9"/>
        <v>1</v>
      </c>
      <c r="P182" s="10">
        <f t="shared" si="10"/>
        <v>3</v>
      </c>
      <c r="Q182" s="10" t="str">
        <f t="shared" si="11"/>
        <v>★★★</v>
      </c>
    </row>
    <row r="183" spans="1:17" ht="20" thickBot="1" x14ac:dyDescent="0.3">
      <c r="A183" s="4" t="s">
        <v>381</v>
      </c>
      <c r="B183" s="4" t="s">
        <v>60</v>
      </c>
      <c r="C183" s="4" t="s">
        <v>116</v>
      </c>
      <c r="D183" s="4" t="s">
        <v>30</v>
      </c>
      <c r="E183" s="4">
        <v>24</v>
      </c>
      <c r="F183" s="4">
        <v>117</v>
      </c>
      <c r="G183" s="4">
        <v>45</v>
      </c>
      <c r="H183" s="5">
        <v>0.83299999999999996</v>
      </c>
      <c r="I183" s="4">
        <v>0</v>
      </c>
      <c r="J183" s="4">
        <v>2</v>
      </c>
      <c r="L183" s="10">
        <f t="shared" si="8"/>
        <v>0</v>
      </c>
      <c r="M183" s="18">
        <v>0</v>
      </c>
      <c r="N183" s="10">
        <f t="shared" si="9"/>
        <v>0</v>
      </c>
      <c r="O183" s="10">
        <f t="shared" si="9"/>
        <v>0</v>
      </c>
      <c r="P183" s="10">
        <f t="shared" si="10"/>
        <v>0</v>
      </c>
      <c r="Q183" s="10" t="str">
        <f t="shared" si="11"/>
        <v>☆</v>
      </c>
    </row>
    <row r="184" spans="1:17" ht="20" thickBot="1" x14ac:dyDescent="0.3">
      <c r="A184" s="4" t="s">
        <v>550</v>
      </c>
      <c r="B184" s="4" t="s">
        <v>52</v>
      </c>
      <c r="C184" s="4" t="s">
        <v>471</v>
      </c>
      <c r="D184" s="4" t="s">
        <v>58</v>
      </c>
      <c r="E184" s="4">
        <v>22</v>
      </c>
      <c r="F184" s="4">
        <v>990</v>
      </c>
      <c r="G184" s="4">
        <v>222</v>
      </c>
      <c r="H184" s="5">
        <v>0.73799999999999999</v>
      </c>
      <c r="I184" s="4">
        <v>2</v>
      </c>
      <c r="J184" s="4">
        <v>15</v>
      </c>
      <c r="L184" s="10">
        <f t="shared" si="8"/>
        <v>0</v>
      </c>
      <c r="M184" s="18">
        <v>0</v>
      </c>
      <c r="N184" s="10">
        <f t="shared" si="9"/>
        <v>0.5</v>
      </c>
      <c r="O184" s="10">
        <f t="shared" si="9"/>
        <v>0.5</v>
      </c>
      <c r="P184" s="10">
        <f t="shared" si="10"/>
        <v>1</v>
      </c>
      <c r="Q184" s="10" t="str">
        <f t="shared" si="11"/>
        <v>★</v>
      </c>
    </row>
    <row r="185" spans="1:17" ht="20" thickBot="1" x14ac:dyDescent="0.3">
      <c r="A185" s="4" t="s">
        <v>386</v>
      </c>
      <c r="B185" s="4" t="s">
        <v>20</v>
      </c>
      <c r="C185" s="4" t="s">
        <v>116</v>
      </c>
      <c r="D185" s="4" t="s">
        <v>39</v>
      </c>
      <c r="E185" s="4">
        <v>25</v>
      </c>
      <c r="F185" s="4">
        <v>2880</v>
      </c>
      <c r="G185" s="4">
        <v>2587</v>
      </c>
      <c r="H185" s="5">
        <v>0.92500000000000004</v>
      </c>
      <c r="I185" s="4">
        <v>9</v>
      </c>
      <c r="J185" s="4">
        <v>25</v>
      </c>
      <c r="L185" s="10">
        <f t="shared" si="8"/>
        <v>1</v>
      </c>
      <c r="M185" s="18">
        <v>2</v>
      </c>
      <c r="N185" s="10">
        <f t="shared" si="9"/>
        <v>1</v>
      </c>
      <c r="O185" s="10">
        <f t="shared" si="9"/>
        <v>1</v>
      </c>
      <c r="P185" s="10">
        <f t="shared" si="10"/>
        <v>5</v>
      </c>
      <c r="Q185" s="10" t="str">
        <f t="shared" si="11"/>
        <v>★★★★★</v>
      </c>
    </row>
    <row r="186" spans="1:17" ht="20" thickBot="1" x14ac:dyDescent="0.3">
      <c r="A186" s="4" t="s">
        <v>551</v>
      </c>
      <c r="B186" s="4" t="s">
        <v>20</v>
      </c>
      <c r="C186" s="4" t="s">
        <v>471</v>
      </c>
      <c r="D186" s="4" t="s">
        <v>58</v>
      </c>
      <c r="E186" s="4">
        <v>30</v>
      </c>
      <c r="F186" s="4">
        <v>2268</v>
      </c>
      <c r="G186" s="4">
        <v>667</v>
      </c>
      <c r="H186" s="5">
        <v>0.745</v>
      </c>
      <c r="I186" s="4">
        <v>7</v>
      </c>
      <c r="J186" s="4">
        <v>40</v>
      </c>
      <c r="L186" s="10">
        <f t="shared" si="8"/>
        <v>1</v>
      </c>
      <c r="M186" s="18">
        <v>0</v>
      </c>
      <c r="N186" s="10">
        <f t="shared" si="9"/>
        <v>1</v>
      </c>
      <c r="O186" s="10">
        <f t="shared" si="9"/>
        <v>1</v>
      </c>
      <c r="P186" s="10">
        <f t="shared" si="10"/>
        <v>3</v>
      </c>
      <c r="Q186" s="10" t="str">
        <f t="shared" si="11"/>
        <v>★★★</v>
      </c>
    </row>
    <row r="187" spans="1:17" ht="20" thickBot="1" x14ac:dyDescent="0.3">
      <c r="A187" s="4" t="s">
        <v>389</v>
      </c>
      <c r="B187" s="4" t="s">
        <v>20</v>
      </c>
      <c r="C187" s="4" t="s">
        <v>116</v>
      </c>
      <c r="D187" s="4" t="s">
        <v>33</v>
      </c>
      <c r="E187" s="4">
        <v>29</v>
      </c>
      <c r="F187" s="4">
        <v>2889</v>
      </c>
      <c r="G187" s="4">
        <v>1396</v>
      </c>
      <c r="H187" s="5">
        <v>0.82799999999999996</v>
      </c>
      <c r="I187" s="4">
        <v>4</v>
      </c>
      <c r="J187" s="4">
        <v>35</v>
      </c>
      <c r="L187" s="10">
        <f t="shared" si="8"/>
        <v>1</v>
      </c>
      <c r="M187" s="18">
        <v>2</v>
      </c>
      <c r="N187" s="10">
        <f t="shared" si="9"/>
        <v>1</v>
      </c>
      <c r="O187" s="10">
        <f t="shared" si="9"/>
        <v>1</v>
      </c>
      <c r="P187" s="10">
        <f t="shared" si="10"/>
        <v>5</v>
      </c>
      <c r="Q187" s="10" t="str">
        <f t="shared" si="11"/>
        <v>★★★★★</v>
      </c>
    </row>
    <row r="188" spans="1:17" ht="20" thickBot="1" x14ac:dyDescent="0.3">
      <c r="A188" s="4" t="s">
        <v>552</v>
      </c>
      <c r="B188" s="4" t="s">
        <v>29</v>
      </c>
      <c r="C188" s="4" t="s">
        <v>476</v>
      </c>
      <c r="D188" s="4" t="s">
        <v>50</v>
      </c>
      <c r="E188" s="4">
        <v>18</v>
      </c>
      <c r="F188" s="4">
        <v>225</v>
      </c>
      <c r="G188" s="4">
        <v>50</v>
      </c>
      <c r="H188" s="5">
        <v>0.70399999999999996</v>
      </c>
      <c r="I188" s="4">
        <v>1</v>
      </c>
      <c r="J188" s="4">
        <v>4</v>
      </c>
      <c r="L188" s="10">
        <f t="shared" si="8"/>
        <v>0</v>
      </c>
      <c r="M188" s="18">
        <v>0</v>
      </c>
      <c r="N188" s="10">
        <f t="shared" si="9"/>
        <v>0</v>
      </c>
      <c r="O188" s="10">
        <f t="shared" si="9"/>
        <v>0</v>
      </c>
      <c r="P188" s="10">
        <f t="shared" si="10"/>
        <v>0</v>
      </c>
      <c r="Q188" s="10" t="str">
        <f t="shared" si="11"/>
        <v>☆</v>
      </c>
    </row>
    <row r="189" spans="1:17" ht="20" thickBot="1" x14ac:dyDescent="0.3">
      <c r="A189" s="4" t="s">
        <v>392</v>
      </c>
      <c r="B189" s="4" t="s">
        <v>62</v>
      </c>
      <c r="C189" s="4" t="s">
        <v>116</v>
      </c>
      <c r="D189" s="4" t="s">
        <v>50</v>
      </c>
      <c r="E189" s="4">
        <v>30</v>
      </c>
      <c r="F189" s="4">
        <v>765</v>
      </c>
      <c r="G189" s="4">
        <v>327</v>
      </c>
      <c r="H189" s="5">
        <v>0.83199999999999996</v>
      </c>
      <c r="I189" s="4">
        <v>0</v>
      </c>
      <c r="J189" s="4">
        <v>9</v>
      </c>
      <c r="L189" s="10">
        <f t="shared" si="8"/>
        <v>0</v>
      </c>
      <c r="M189" s="18">
        <v>0</v>
      </c>
      <c r="N189" s="10">
        <f t="shared" si="9"/>
        <v>0</v>
      </c>
      <c r="O189" s="10">
        <f t="shared" si="9"/>
        <v>0</v>
      </c>
      <c r="P189" s="10">
        <f t="shared" si="10"/>
        <v>0</v>
      </c>
      <c r="Q189" s="10" t="str">
        <f t="shared" si="11"/>
        <v>☆</v>
      </c>
    </row>
    <row r="190" spans="1:17" ht="20" thickBot="1" x14ac:dyDescent="0.3">
      <c r="A190" s="4" t="s">
        <v>553</v>
      </c>
      <c r="B190" s="4" t="s">
        <v>17</v>
      </c>
      <c r="C190" s="4" t="s">
        <v>476</v>
      </c>
      <c r="D190" s="4" t="s">
        <v>35</v>
      </c>
      <c r="E190" s="4">
        <v>24</v>
      </c>
      <c r="F190" s="4">
        <v>2808</v>
      </c>
      <c r="G190" s="4">
        <v>547</v>
      </c>
      <c r="H190" s="5">
        <v>0.72199999999999998</v>
      </c>
      <c r="I190" s="4">
        <v>10</v>
      </c>
      <c r="J190" s="4">
        <v>51</v>
      </c>
      <c r="L190" s="10">
        <f t="shared" si="8"/>
        <v>1</v>
      </c>
      <c r="M190" s="18">
        <v>0</v>
      </c>
      <c r="N190" s="10">
        <f t="shared" si="9"/>
        <v>1</v>
      </c>
      <c r="O190" s="10">
        <f t="shared" si="9"/>
        <v>1</v>
      </c>
      <c r="P190" s="10">
        <f t="shared" si="10"/>
        <v>3</v>
      </c>
      <c r="Q190" s="10" t="str">
        <f t="shared" si="11"/>
        <v>★★★</v>
      </c>
    </row>
    <row r="191" spans="1:17" ht="20" thickBot="1" x14ac:dyDescent="0.3">
      <c r="A191" s="4" t="s">
        <v>554</v>
      </c>
      <c r="B191" s="4" t="s">
        <v>29</v>
      </c>
      <c r="C191" s="4" t="s">
        <v>476</v>
      </c>
      <c r="D191" s="4" t="s">
        <v>63</v>
      </c>
      <c r="E191" s="4">
        <v>19</v>
      </c>
      <c r="F191" s="4">
        <v>2979</v>
      </c>
      <c r="G191" s="4">
        <v>892</v>
      </c>
      <c r="H191" s="5">
        <v>0.753</v>
      </c>
      <c r="I191" s="4">
        <v>18</v>
      </c>
      <c r="J191" s="4">
        <v>65</v>
      </c>
      <c r="L191" s="10">
        <f t="shared" si="8"/>
        <v>1</v>
      </c>
      <c r="M191" s="18">
        <v>0</v>
      </c>
      <c r="N191" s="10">
        <f t="shared" si="9"/>
        <v>1</v>
      </c>
      <c r="O191" s="10">
        <f t="shared" si="9"/>
        <v>1</v>
      </c>
      <c r="P191" s="10">
        <f t="shared" si="10"/>
        <v>3</v>
      </c>
      <c r="Q191" s="10" t="str">
        <f t="shared" si="11"/>
        <v>★★★</v>
      </c>
    </row>
    <row r="192" spans="1:17" ht="20" thickBot="1" x14ac:dyDescent="0.3">
      <c r="A192" s="4" t="s">
        <v>395</v>
      </c>
      <c r="B192" s="4" t="s">
        <v>162</v>
      </c>
      <c r="C192" s="4" t="s">
        <v>116</v>
      </c>
      <c r="D192" s="4" t="s">
        <v>63</v>
      </c>
      <c r="E192" s="4">
        <v>21</v>
      </c>
      <c r="F192" s="4">
        <v>1134</v>
      </c>
      <c r="G192" s="4">
        <v>719</v>
      </c>
      <c r="H192" s="5">
        <v>0.89700000000000002</v>
      </c>
      <c r="I192" s="4">
        <v>0</v>
      </c>
      <c r="J192" s="4">
        <v>18</v>
      </c>
      <c r="L192" s="10">
        <f t="shared" si="8"/>
        <v>0</v>
      </c>
      <c r="M192" s="18">
        <v>1</v>
      </c>
      <c r="N192" s="10">
        <f t="shared" si="9"/>
        <v>0</v>
      </c>
      <c r="O192" s="10">
        <f t="shared" si="9"/>
        <v>1</v>
      </c>
      <c r="P192" s="10">
        <f t="shared" si="10"/>
        <v>2</v>
      </c>
      <c r="Q192" s="10" t="str">
        <f t="shared" si="11"/>
        <v>★★</v>
      </c>
    </row>
    <row r="193" spans="1:17" ht="20" thickBot="1" x14ac:dyDescent="0.3">
      <c r="A193" s="4" t="s">
        <v>555</v>
      </c>
      <c r="B193" s="4" t="s">
        <v>29</v>
      </c>
      <c r="C193" s="4" t="s">
        <v>476</v>
      </c>
      <c r="D193" s="4" t="s">
        <v>47</v>
      </c>
      <c r="E193" s="4">
        <v>21</v>
      </c>
      <c r="F193" s="4">
        <v>1899.0000000000002</v>
      </c>
      <c r="G193" s="4">
        <v>810</v>
      </c>
      <c r="H193" s="5">
        <v>0.82499999999999996</v>
      </c>
      <c r="I193" s="4">
        <v>6</v>
      </c>
      <c r="J193" s="4">
        <v>41</v>
      </c>
      <c r="L193" s="10">
        <f t="shared" si="8"/>
        <v>1</v>
      </c>
      <c r="M193" s="18">
        <v>1</v>
      </c>
      <c r="N193" s="10">
        <f t="shared" si="9"/>
        <v>1</v>
      </c>
      <c r="O193" s="10">
        <f t="shared" si="9"/>
        <v>1</v>
      </c>
      <c r="P193" s="10">
        <f t="shared" si="10"/>
        <v>4</v>
      </c>
      <c r="Q193" s="10" t="str">
        <f t="shared" si="11"/>
        <v>★★★★</v>
      </c>
    </row>
    <row r="194" spans="1:17" ht="20" thickBot="1" x14ac:dyDescent="0.3">
      <c r="A194" s="4" t="s">
        <v>397</v>
      </c>
      <c r="B194" s="4" t="s">
        <v>17</v>
      </c>
      <c r="C194" s="4" t="s">
        <v>116</v>
      </c>
      <c r="D194" s="4" t="s">
        <v>69</v>
      </c>
      <c r="E194" s="4">
        <v>26</v>
      </c>
      <c r="F194" s="4">
        <v>360</v>
      </c>
      <c r="G194" s="4">
        <v>121</v>
      </c>
      <c r="H194" s="5">
        <v>0.77100000000000002</v>
      </c>
      <c r="I194" s="4">
        <v>0</v>
      </c>
      <c r="J194" s="4">
        <v>1</v>
      </c>
      <c r="L194" s="10">
        <f t="shared" ref="L194:L231" si="12">IFERROR(_xlfn.IFS(F194&gt;=F$233,1,F194&gt;=F$232,0.5),0)</f>
        <v>0</v>
      </c>
      <c r="M194" s="18">
        <v>0</v>
      </c>
      <c r="N194" s="10">
        <f t="shared" ref="N194:O231" si="13">IFERROR(_xlfn.IFS(I194&gt;=I$233,1,I194&gt;=I$232,0.5),0)</f>
        <v>0</v>
      </c>
      <c r="O194" s="10">
        <f t="shared" si="13"/>
        <v>0</v>
      </c>
      <c r="P194" s="10">
        <f t="shared" ref="P194:P231" si="14">SUM($L194:$O194)</f>
        <v>0</v>
      </c>
      <c r="Q194" s="10" t="str">
        <f t="shared" ref="Q194:Q231" si="15">_xlfn.IFS(P194=0,"☆",P194 =0.5,"☆½", P194=1,"★",P194 =1.5,"★½", P194 =2.5,"★★½", P194=2,"★★", P194=3,"★★★", P194 =3.5,"★★★½",P194=4,"★★★★", P194 =4.5,"★★★★½", P194=5,"★★★★★")</f>
        <v>☆</v>
      </c>
    </row>
    <row r="195" spans="1:17" ht="20" thickBot="1" x14ac:dyDescent="0.3">
      <c r="A195" s="4" t="s">
        <v>556</v>
      </c>
      <c r="B195" s="4" t="s">
        <v>91</v>
      </c>
      <c r="C195" s="4" t="s">
        <v>476</v>
      </c>
      <c r="D195" s="4" t="s">
        <v>50</v>
      </c>
      <c r="E195" s="4">
        <v>21</v>
      </c>
      <c r="F195" s="4">
        <v>1575</v>
      </c>
      <c r="G195" s="4">
        <v>298</v>
      </c>
      <c r="H195" s="5">
        <v>0.74099999999999999</v>
      </c>
      <c r="I195" s="4">
        <v>3</v>
      </c>
      <c r="J195" s="4">
        <v>13</v>
      </c>
      <c r="L195" s="10">
        <f t="shared" si="12"/>
        <v>1</v>
      </c>
      <c r="M195" s="18">
        <v>0</v>
      </c>
      <c r="N195" s="10">
        <f t="shared" si="13"/>
        <v>0.5</v>
      </c>
      <c r="O195" s="10">
        <f t="shared" si="13"/>
        <v>0.5</v>
      </c>
      <c r="P195" s="10">
        <f t="shared" si="14"/>
        <v>2</v>
      </c>
      <c r="Q195" s="10" t="str">
        <f t="shared" si="15"/>
        <v>★★</v>
      </c>
    </row>
    <row r="196" spans="1:17" ht="20" thickBot="1" x14ac:dyDescent="0.3">
      <c r="A196" s="4" t="s">
        <v>557</v>
      </c>
      <c r="B196" s="4" t="s">
        <v>156</v>
      </c>
      <c r="C196" s="4" t="s">
        <v>476</v>
      </c>
      <c r="D196" s="4" t="s">
        <v>85</v>
      </c>
      <c r="E196" s="4">
        <v>19</v>
      </c>
      <c r="F196" s="4">
        <v>45</v>
      </c>
      <c r="G196" s="4">
        <v>14</v>
      </c>
      <c r="H196" s="7">
        <v>0.7</v>
      </c>
      <c r="I196" s="4">
        <v>0</v>
      </c>
      <c r="J196" s="4">
        <v>0</v>
      </c>
      <c r="L196" s="10">
        <f t="shared" si="12"/>
        <v>0</v>
      </c>
      <c r="M196" s="18">
        <v>0</v>
      </c>
      <c r="N196" s="10">
        <f t="shared" si="13"/>
        <v>0</v>
      </c>
      <c r="O196" s="10">
        <f t="shared" si="13"/>
        <v>0</v>
      </c>
      <c r="P196" s="10">
        <f t="shared" si="14"/>
        <v>0</v>
      </c>
      <c r="Q196" s="10" t="str">
        <f t="shared" si="15"/>
        <v>☆</v>
      </c>
    </row>
    <row r="197" spans="1:17" ht="20" thickBot="1" x14ac:dyDescent="0.3">
      <c r="A197" s="4" t="s">
        <v>558</v>
      </c>
      <c r="B197" s="4" t="s">
        <v>72</v>
      </c>
      <c r="C197" s="4" t="s">
        <v>476</v>
      </c>
      <c r="D197" s="4" t="s">
        <v>24</v>
      </c>
      <c r="E197" s="4">
        <v>23</v>
      </c>
      <c r="F197" s="4">
        <v>1863</v>
      </c>
      <c r="G197" s="4">
        <v>330</v>
      </c>
      <c r="H197" s="5">
        <v>0.70699999999999996</v>
      </c>
      <c r="I197" s="4">
        <v>7</v>
      </c>
      <c r="J197" s="4">
        <v>20</v>
      </c>
      <c r="L197" s="10">
        <f t="shared" si="12"/>
        <v>1</v>
      </c>
      <c r="M197" s="18">
        <v>0</v>
      </c>
      <c r="N197" s="10">
        <f t="shared" si="13"/>
        <v>1</v>
      </c>
      <c r="O197" s="10">
        <f t="shared" si="13"/>
        <v>1</v>
      </c>
      <c r="P197" s="10">
        <f t="shared" si="14"/>
        <v>3</v>
      </c>
      <c r="Q197" s="10" t="str">
        <f t="shared" si="15"/>
        <v>★★★</v>
      </c>
    </row>
    <row r="198" spans="1:17" ht="20" thickBot="1" x14ac:dyDescent="0.3">
      <c r="A198" s="4" t="s">
        <v>400</v>
      </c>
      <c r="B198" s="4" t="s">
        <v>29</v>
      </c>
      <c r="C198" s="4" t="s">
        <v>116</v>
      </c>
      <c r="D198" s="4" t="s">
        <v>65</v>
      </c>
      <c r="E198" s="4">
        <v>17</v>
      </c>
      <c r="F198" s="4">
        <v>0</v>
      </c>
      <c r="G198" s="4">
        <v>1</v>
      </c>
      <c r="H198" s="7">
        <v>1</v>
      </c>
      <c r="I198" s="4">
        <v>0</v>
      </c>
      <c r="J198" s="4">
        <v>0</v>
      </c>
      <c r="L198" s="10">
        <f t="shared" si="12"/>
        <v>0</v>
      </c>
      <c r="M198" s="18">
        <v>0</v>
      </c>
      <c r="N198" s="10">
        <f t="shared" si="13"/>
        <v>0</v>
      </c>
      <c r="O198" s="10">
        <f t="shared" si="13"/>
        <v>0</v>
      </c>
      <c r="P198" s="10">
        <f t="shared" si="14"/>
        <v>0</v>
      </c>
      <c r="Q198" s="10" t="str">
        <f t="shared" si="15"/>
        <v>☆</v>
      </c>
    </row>
    <row r="199" spans="1:17" ht="20" thickBot="1" x14ac:dyDescent="0.3">
      <c r="A199" s="4" t="s">
        <v>559</v>
      </c>
      <c r="B199" s="4" t="s">
        <v>124</v>
      </c>
      <c r="C199" s="4" t="s">
        <v>471</v>
      </c>
      <c r="D199" s="4" t="s">
        <v>30</v>
      </c>
      <c r="E199" s="4">
        <v>28</v>
      </c>
      <c r="F199" s="4">
        <v>1854.0000000000002</v>
      </c>
      <c r="G199" s="4">
        <v>506</v>
      </c>
      <c r="H199" s="5">
        <v>0.75900000000000001</v>
      </c>
      <c r="I199" s="4">
        <v>5</v>
      </c>
      <c r="J199" s="4">
        <v>19</v>
      </c>
      <c r="L199" s="10">
        <f t="shared" si="12"/>
        <v>1</v>
      </c>
      <c r="M199" s="18">
        <v>0</v>
      </c>
      <c r="N199" s="10">
        <f t="shared" si="13"/>
        <v>1</v>
      </c>
      <c r="O199" s="10">
        <f t="shared" si="13"/>
        <v>1</v>
      </c>
      <c r="P199" s="10">
        <f t="shared" si="14"/>
        <v>3</v>
      </c>
      <c r="Q199" s="10" t="str">
        <f t="shared" si="15"/>
        <v>★★★</v>
      </c>
    </row>
    <row r="200" spans="1:17" ht="20" thickBot="1" x14ac:dyDescent="0.3">
      <c r="A200" s="4" t="s">
        <v>560</v>
      </c>
      <c r="B200" s="4" t="s">
        <v>75</v>
      </c>
      <c r="C200" s="4" t="s">
        <v>471</v>
      </c>
      <c r="D200" s="4" t="s">
        <v>24</v>
      </c>
      <c r="E200" s="4">
        <v>27</v>
      </c>
      <c r="F200" s="4">
        <v>855</v>
      </c>
      <c r="G200" s="4">
        <v>132</v>
      </c>
      <c r="H200" s="7">
        <v>0.62</v>
      </c>
      <c r="I200" s="4">
        <v>0</v>
      </c>
      <c r="J200" s="4">
        <v>11</v>
      </c>
      <c r="L200" s="10">
        <f t="shared" si="12"/>
        <v>0</v>
      </c>
      <c r="M200" s="18">
        <v>0</v>
      </c>
      <c r="N200" s="10">
        <f t="shared" si="13"/>
        <v>0</v>
      </c>
      <c r="O200" s="10">
        <f t="shared" si="13"/>
        <v>0</v>
      </c>
      <c r="P200" s="10">
        <f t="shared" si="14"/>
        <v>0</v>
      </c>
      <c r="Q200" s="10" t="str">
        <f t="shared" si="15"/>
        <v>☆</v>
      </c>
    </row>
    <row r="201" spans="1:17" ht="20" thickBot="1" x14ac:dyDescent="0.3">
      <c r="A201" s="4" t="s">
        <v>405</v>
      </c>
      <c r="B201" s="4" t="s">
        <v>29</v>
      </c>
      <c r="C201" s="4" t="s">
        <v>171</v>
      </c>
      <c r="D201" s="4" t="s">
        <v>58</v>
      </c>
      <c r="E201" s="4">
        <v>21</v>
      </c>
      <c r="F201" s="4">
        <v>711</v>
      </c>
      <c r="G201" s="4">
        <v>352</v>
      </c>
      <c r="H201" s="5">
        <v>0.86099999999999999</v>
      </c>
      <c r="I201" s="4">
        <v>0</v>
      </c>
      <c r="J201" s="4">
        <v>2</v>
      </c>
      <c r="L201" s="10">
        <f t="shared" si="12"/>
        <v>0</v>
      </c>
      <c r="M201" s="18">
        <v>0</v>
      </c>
      <c r="N201" s="10">
        <f t="shared" si="13"/>
        <v>0</v>
      </c>
      <c r="O201" s="10">
        <f t="shared" si="13"/>
        <v>0</v>
      </c>
      <c r="P201" s="10">
        <f t="shared" si="14"/>
        <v>0</v>
      </c>
      <c r="Q201" s="10" t="str">
        <f t="shared" si="15"/>
        <v>☆</v>
      </c>
    </row>
    <row r="202" spans="1:17" ht="20" thickBot="1" x14ac:dyDescent="0.3">
      <c r="A202" s="4" t="s">
        <v>407</v>
      </c>
      <c r="B202" s="4" t="s">
        <v>29</v>
      </c>
      <c r="C202" s="4" t="s">
        <v>116</v>
      </c>
      <c r="D202" s="4" t="s">
        <v>35</v>
      </c>
      <c r="E202" s="4">
        <v>29</v>
      </c>
      <c r="F202" s="4">
        <v>1980</v>
      </c>
      <c r="G202" s="4">
        <v>733</v>
      </c>
      <c r="H202" s="5">
        <v>0.80200000000000005</v>
      </c>
      <c r="I202" s="4">
        <v>3</v>
      </c>
      <c r="J202" s="4">
        <v>16</v>
      </c>
      <c r="L202" s="10">
        <f t="shared" si="12"/>
        <v>1</v>
      </c>
      <c r="M202" s="18">
        <v>1</v>
      </c>
      <c r="N202" s="10">
        <f t="shared" si="13"/>
        <v>0.5</v>
      </c>
      <c r="O202" s="10">
        <f t="shared" si="13"/>
        <v>0.5</v>
      </c>
      <c r="P202" s="10">
        <f t="shared" si="14"/>
        <v>3</v>
      </c>
      <c r="Q202" s="10" t="str">
        <f t="shared" si="15"/>
        <v>★★★</v>
      </c>
    </row>
    <row r="203" spans="1:17" ht="20" thickBot="1" x14ac:dyDescent="0.3">
      <c r="A203" s="4" t="s">
        <v>561</v>
      </c>
      <c r="B203" s="4" t="s">
        <v>83</v>
      </c>
      <c r="C203" s="4" t="s">
        <v>471</v>
      </c>
      <c r="D203" s="4" t="s">
        <v>39</v>
      </c>
      <c r="E203" s="4">
        <v>26</v>
      </c>
      <c r="F203" s="4">
        <v>2853</v>
      </c>
      <c r="G203" s="4">
        <v>1698</v>
      </c>
      <c r="H203" s="5">
        <v>0.88400000000000001</v>
      </c>
      <c r="I203" s="4">
        <v>12</v>
      </c>
      <c r="J203" s="4">
        <v>54</v>
      </c>
      <c r="L203" s="10">
        <f t="shared" si="12"/>
        <v>1</v>
      </c>
      <c r="M203" s="18">
        <v>2</v>
      </c>
      <c r="N203" s="10">
        <f t="shared" si="13"/>
        <v>1</v>
      </c>
      <c r="O203" s="10">
        <f t="shared" si="13"/>
        <v>1</v>
      </c>
      <c r="P203" s="10">
        <f t="shared" si="14"/>
        <v>5</v>
      </c>
      <c r="Q203" s="10" t="str">
        <f t="shared" si="15"/>
        <v>★★★★★</v>
      </c>
    </row>
    <row r="204" spans="1:17" ht="20" thickBot="1" x14ac:dyDescent="0.3">
      <c r="A204" s="4" t="s">
        <v>411</v>
      </c>
      <c r="B204" s="4" t="s">
        <v>17</v>
      </c>
      <c r="C204" s="4" t="s">
        <v>116</v>
      </c>
      <c r="D204" s="4" t="s">
        <v>24</v>
      </c>
      <c r="E204" s="4">
        <v>31</v>
      </c>
      <c r="F204" s="4">
        <v>3221.9999999999995</v>
      </c>
      <c r="G204" s="4">
        <v>945</v>
      </c>
      <c r="H204" s="5">
        <v>0.79700000000000004</v>
      </c>
      <c r="I204" s="4">
        <v>3</v>
      </c>
      <c r="J204" s="4">
        <v>33</v>
      </c>
      <c r="L204" s="10">
        <f t="shared" si="12"/>
        <v>1</v>
      </c>
      <c r="M204" s="18">
        <v>1</v>
      </c>
      <c r="N204" s="10">
        <f t="shared" si="13"/>
        <v>0.5</v>
      </c>
      <c r="O204" s="10">
        <f t="shared" si="13"/>
        <v>1</v>
      </c>
      <c r="P204" s="10">
        <f t="shared" si="14"/>
        <v>3.5</v>
      </c>
      <c r="Q204" s="10" t="str">
        <f t="shared" si="15"/>
        <v>★★★½</v>
      </c>
    </row>
    <row r="205" spans="1:17" ht="20" thickBot="1" x14ac:dyDescent="0.3">
      <c r="A205" s="4" t="s">
        <v>412</v>
      </c>
      <c r="B205" s="4" t="s">
        <v>29</v>
      </c>
      <c r="C205" s="4" t="s">
        <v>116</v>
      </c>
      <c r="D205" s="4" t="s">
        <v>65</v>
      </c>
      <c r="E205" s="4">
        <v>20</v>
      </c>
      <c r="F205" s="4">
        <v>1350</v>
      </c>
      <c r="G205" s="4">
        <v>736</v>
      </c>
      <c r="H205" s="5">
        <v>0.89500000000000002</v>
      </c>
      <c r="I205" s="4">
        <v>0</v>
      </c>
      <c r="J205" s="4">
        <v>7</v>
      </c>
      <c r="L205" s="10">
        <f t="shared" si="12"/>
        <v>1</v>
      </c>
      <c r="M205" s="18">
        <v>1</v>
      </c>
      <c r="N205" s="10">
        <f t="shared" si="13"/>
        <v>0</v>
      </c>
      <c r="O205" s="10">
        <f t="shared" si="13"/>
        <v>0</v>
      </c>
      <c r="P205" s="10">
        <f t="shared" si="14"/>
        <v>2</v>
      </c>
      <c r="Q205" s="10" t="str">
        <f t="shared" si="15"/>
        <v>★★</v>
      </c>
    </row>
    <row r="206" spans="1:17" ht="20" thickBot="1" x14ac:dyDescent="0.3">
      <c r="A206" s="4" t="s">
        <v>562</v>
      </c>
      <c r="B206" s="4" t="s">
        <v>55</v>
      </c>
      <c r="C206" s="4" t="s">
        <v>471</v>
      </c>
      <c r="D206" s="4" t="s">
        <v>33</v>
      </c>
      <c r="E206" s="4">
        <v>21</v>
      </c>
      <c r="F206" s="4">
        <v>135</v>
      </c>
      <c r="G206" s="4">
        <v>22</v>
      </c>
      <c r="H206" s="5">
        <v>0.57899999999999996</v>
      </c>
      <c r="I206" s="4">
        <v>0</v>
      </c>
      <c r="J206" s="4">
        <v>1</v>
      </c>
      <c r="L206" s="10">
        <f t="shared" si="12"/>
        <v>0</v>
      </c>
      <c r="M206" s="18">
        <v>0</v>
      </c>
      <c r="N206" s="10">
        <f t="shared" si="13"/>
        <v>0</v>
      </c>
      <c r="O206" s="10">
        <f t="shared" si="13"/>
        <v>0</v>
      </c>
      <c r="P206" s="10">
        <f t="shared" si="14"/>
        <v>0</v>
      </c>
      <c r="Q206" s="10" t="str">
        <f t="shared" si="15"/>
        <v>☆</v>
      </c>
    </row>
    <row r="207" spans="1:17" ht="20" thickBot="1" x14ac:dyDescent="0.3">
      <c r="A207" s="4" t="s">
        <v>563</v>
      </c>
      <c r="B207" s="4" t="s">
        <v>29</v>
      </c>
      <c r="C207" s="4" t="s">
        <v>471</v>
      </c>
      <c r="D207" s="4" t="s">
        <v>63</v>
      </c>
      <c r="E207" s="4">
        <v>21</v>
      </c>
      <c r="F207" s="4">
        <v>1917</v>
      </c>
      <c r="G207" s="4">
        <v>691</v>
      </c>
      <c r="H207" s="5">
        <v>0.85199999999999998</v>
      </c>
      <c r="I207" s="4">
        <v>12</v>
      </c>
      <c r="J207" s="4">
        <v>29</v>
      </c>
      <c r="L207" s="10">
        <f t="shared" si="12"/>
        <v>1</v>
      </c>
      <c r="M207" s="18">
        <v>1</v>
      </c>
      <c r="N207" s="10">
        <f t="shared" si="13"/>
        <v>1</v>
      </c>
      <c r="O207" s="10">
        <f t="shared" si="13"/>
        <v>1</v>
      </c>
      <c r="P207" s="10">
        <f t="shared" si="14"/>
        <v>4</v>
      </c>
      <c r="Q207" s="10" t="str">
        <f t="shared" si="15"/>
        <v>★★★★</v>
      </c>
    </row>
    <row r="208" spans="1:17" ht="20" thickBot="1" x14ac:dyDescent="0.3">
      <c r="A208" s="4" t="s">
        <v>414</v>
      </c>
      <c r="B208" s="4" t="s">
        <v>67</v>
      </c>
      <c r="C208" s="4" t="s">
        <v>228</v>
      </c>
      <c r="D208" s="4" t="s">
        <v>50</v>
      </c>
      <c r="E208" s="4">
        <v>23</v>
      </c>
      <c r="F208" s="4">
        <v>603</v>
      </c>
      <c r="G208" s="4">
        <v>247</v>
      </c>
      <c r="H208" s="5">
        <v>0.82299999999999995</v>
      </c>
      <c r="I208" s="4">
        <v>0</v>
      </c>
      <c r="J208" s="4">
        <v>0</v>
      </c>
      <c r="L208" s="10">
        <f t="shared" si="12"/>
        <v>0</v>
      </c>
      <c r="M208" s="18">
        <v>0</v>
      </c>
      <c r="N208" s="10">
        <f t="shared" si="13"/>
        <v>0</v>
      </c>
      <c r="O208" s="10">
        <f t="shared" si="13"/>
        <v>0</v>
      </c>
      <c r="P208" s="10">
        <f t="shared" si="14"/>
        <v>0</v>
      </c>
      <c r="Q208" s="10" t="str">
        <f t="shared" si="15"/>
        <v>☆</v>
      </c>
    </row>
    <row r="209" spans="1:17" ht="20" thickBot="1" x14ac:dyDescent="0.3">
      <c r="A209" s="4" t="s">
        <v>415</v>
      </c>
      <c r="B209" s="4" t="s">
        <v>185</v>
      </c>
      <c r="C209" s="4" t="s">
        <v>116</v>
      </c>
      <c r="D209" s="4" t="s">
        <v>18</v>
      </c>
      <c r="E209" s="4">
        <v>26</v>
      </c>
      <c r="F209" s="4">
        <v>3060</v>
      </c>
      <c r="G209" s="4">
        <v>1035</v>
      </c>
      <c r="H209" s="5">
        <v>0.77700000000000002</v>
      </c>
      <c r="I209" s="4">
        <v>6</v>
      </c>
      <c r="J209" s="4">
        <v>16</v>
      </c>
      <c r="L209" s="10">
        <f t="shared" si="12"/>
        <v>1</v>
      </c>
      <c r="M209" s="18">
        <v>0</v>
      </c>
      <c r="N209" s="10">
        <f t="shared" si="13"/>
        <v>1</v>
      </c>
      <c r="O209" s="10">
        <f t="shared" si="13"/>
        <v>0.5</v>
      </c>
      <c r="P209" s="10">
        <f t="shared" si="14"/>
        <v>2.5</v>
      </c>
      <c r="Q209" s="10" t="str">
        <f t="shared" si="15"/>
        <v>★★½</v>
      </c>
    </row>
    <row r="210" spans="1:17" ht="20" thickBot="1" x14ac:dyDescent="0.3">
      <c r="A210" s="4" t="s">
        <v>416</v>
      </c>
      <c r="B210" s="4" t="s">
        <v>17</v>
      </c>
      <c r="C210" s="4" t="s">
        <v>116</v>
      </c>
      <c r="D210" s="4" t="s">
        <v>87</v>
      </c>
      <c r="E210" s="4">
        <v>22</v>
      </c>
      <c r="F210" s="4">
        <v>1098</v>
      </c>
      <c r="G210" s="4">
        <v>449</v>
      </c>
      <c r="H210" s="5">
        <v>0.81499999999999995</v>
      </c>
      <c r="I210" s="4">
        <v>1</v>
      </c>
      <c r="J210" s="4">
        <v>5</v>
      </c>
      <c r="L210" s="10">
        <f t="shared" si="12"/>
        <v>0</v>
      </c>
      <c r="M210" s="18">
        <v>1</v>
      </c>
      <c r="N210" s="10">
        <f t="shared" si="13"/>
        <v>0</v>
      </c>
      <c r="O210" s="10">
        <f t="shared" si="13"/>
        <v>0</v>
      </c>
      <c r="P210" s="10">
        <f t="shared" si="14"/>
        <v>1</v>
      </c>
      <c r="Q210" s="10" t="str">
        <f t="shared" si="15"/>
        <v>★</v>
      </c>
    </row>
    <row r="211" spans="1:17" ht="20" thickBot="1" x14ac:dyDescent="0.3">
      <c r="A211" s="4" t="s">
        <v>564</v>
      </c>
      <c r="B211" s="4" t="s">
        <v>29</v>
      </c>
      <c r="C211" s="4" t="s">
        <v>476</v>
      </c>
      <c r="D211" s="4" t="s">
        <v>50</v>
      </c>
      <c r="E211" s="4">
        <v>18</v>
      </c>
      <c r="F211" s="4">
        <v>144</v>
      </c>
      <c r="G211" s="4">
        <v>26</v>
      </c>
      <c r="H211" s="5">
        <v>0.68400000000000005</v>
      </c>
      <c r="I211" s="4">
        <v>0</v>
      </c>
      <c r="J211" s="4">
        <v>1</v>
      </c>
      <c r="L211" s="10">
        <f t="shared" si="12"/>
        <v>0</v>
      </c>
      <c r="M211" s="18">
        <v>0</v>
      </c>
      <c r="N211" s="10">
        <f t="shared" si="13"/>
        <v>0</v>
      </c>
      <c r="O211" s="10">
        <f t="shared" si="13"/>
        <v>0</v>
      </c>
      <c r="P211" s="10">
        <f t="shared" si="14"/>
        <v>0</v>
      </c>
      <c r="Q211" s="10" t="str">
        <f t="shared" si="15"/>
        <v>☆</v>
      </c>
    </row>
    <row r="212" spans="1:17" ht="20" thickBot="1" x14ac:dyDescent="0.3">
      <c r="A212" s="4" t="s">
        <v>418</v>
      </c>
      <c r="B212" s="4" t="s">
        <v>29</v>
      </c>
      <c r="C212" s="4" t="s">
        <v>116</v>
      </c>
      <c r="D212" s="4" t="s">
        <v>53</v>
      </c>
      <c r="E212" s="4">
        <v>32</v>
      </c>
      <c r="F212" s="4">
        <v>125.99999999999999</v>
      </c>
      <c r="G212" s="4">
        <v>44</v>
      </c>
      <c r="H212" s="5">
        <v>0.77200000000000002</v>
      </c>
      <c r="I212" s="4">
        <v>0</v>
      </c>
      <c r="J212" s="4">
        <v>1</v>
      </c>
      <c r="L212" s="10">
        <f t="shared" si="12"/>
        <v>0</v>
      </c>
      <c r="M212" s="18">
        <v>0</v>
      </c>
      <c r="N212" s="10">
        <f t="shared" si="13"/>
        <v>0</v>
      </c>
      <c r="O212" s="10">
        <f t="shared" si="13"/>
        <v>0</v>
      </c>
      <c r="P212" s="10">
        <f t="shared" si="14"/>
        <v>0</v>
      </c>
      <c r="Q212" s="10" t="str">
        <f t="shared" si="15"/>
        <v>☆</v>
      </c>
    </row>
    <row r="213" spans="1:17" ht="20" thickBot="1" x14ac:dyDescent="0.3">
      <c r="A213" s="4" t="s">
        <v>565</v>
      </c>
      <c r="B213" s="4" t="s">
        <v>60</v>
      </c>
      <c r="C213" s="4" t="s">
        <v>471</v>
      </c>
      <c r="D213" s="4" t="s">
        <v>58</v>
      </c>
      <c r="E213" s="4">
        <v>19</v>
      </c>
      <c r="F213" s="4">
        <v>125.99999999999999</v>
      </c>
      <c r="G213" s="4">
        <v>50</v>
      </c>
      <c r="H213" s="5">
        <v>0.72499999999999998</v>
      </c>
      <c r="I213" s="4">
        <v>0</v>
      </c>
      <c r="J213" s="4">
        <v>2</v>
      </c>
      <c r="L213" s="10">
        <f t="shared" si="12"/>
        <v>0</v>
      </c>
      <c r="M213" s="18">
        <v>0</v>
      </c>
      <c r="N213" s="10">
        <f t="shared" si="13"/>
        <v>0</v>
      </c>
      <c r="O213" s="10">
        <f t="shared" si="13"/>
        <v>0</v>
      </c>
      <c r="P213" s="10">
        <f t="shared" si="14"/>
        <v>0</v>
      </c>
      <c r="Q213" s="10" t="str">
        <f t="shared" si="15"/>
        <v>☆</v>
      </c>
    </row>
    <row r="214" spans="1:17" ht="20" thickBot="1" x14ac:dyDescent="0.3">
      <c r="A214" s="4" t="s">
        <v>566</v>
      </c>
      <c r="B214" s="4" t="s">
        <v>29</v>
      </c>
      <c r="C214" s="4" t="s">
        <v>471</v>
      </c>
      <c r="D214" s="4" t="s">
        <v>33</v>
      </c>
      <c r="E214" s="4">
        <v>22</v>
      </c>
      <c r="F214" s="4">
        <v>801</v>
      </c>
      <c r="G214" s="4">
        <v>112</v>
      </c>
      <c r="H214" s="5">
        <v>0.61899999999999999</v>
      </c>
      <c r="I214" s="4">
        <v>1</v>
      </c>
      <c r="J214" s="4">
        <v>7</v>
      </c>
      <c r="L214" s="10">
        <f t="shared" si="12"/>
        <v>0</v>
      </c>
      <c r="M214" s="18">
        <v>0</v>
      </c>
      <c r="N214" s="10">
        <f t="shared" si="13"/>
        <v>0</v>
      </c>
      <c r="O214" s="10">
        <f t="shared" si="13"/>
        <v>0</v>
      </c>
      <c r="P214" s="10">
        <f t="shared" si="14"/>
        <v>0</v>
      </c>
      <c r="Q214" s="10" t="str">
        <f t="shared" si="15"/>
        <v>☆</v>
      </c>
    </row>
    <row r="215" spans="1:17" ht="20" thickBot="1" x14ac:dyDescent="0.3">
      <c r="A215" s="4" t="s">
        <v>431</v>
      </c>
      <c r="B215" s="4" t="s">
        <v>162</v>
      </c>
      <c r="C215" s="4" t="s">
        <v>116</v>
      </c>
      <c r="D215" s="4" t="s">
        <v>87</v>
      </c>
      <c r="E215" s="4">
        <v>24</v>
      </c>
      <c r="F215" s="4">
        <v>2628</v>
      </c>
      <c r="G215" s="4">
        <v>1437</v>
      </c>
      <c r="H215" s="5">
        <v>0.82299999999999995</v>
      </c>
      <c r="I215" s="4">
        <v>10</v>
      </c>
      <c r="J215" s="4">
        <v>40</v>
      </c>
      <c r="L215" s="10">
        <f t="shared" si="12"/>
        <v>1</v>
      </c>
      <c r="M215" s="18">
        <v>2</v>
      </c>
      <c r="N215" s="10">
        <f t="shared" si="13"/>
        <v>1</v>
      </c>
      <c r="O215" s="10">
        <f t="shared" si="13"/>
        <v>1</v>
      </c>
      <c r="P215" s="10">
        <f t="shared" si="14"/>
        <v>5</v>
      </c>
      <c r="Q215" s="10" t="str">
        <f t="shared" si="15"/>
        <v>★★★★★</v>
      </c>
    </row>
    <row r="216" spans="1:17" ht="20" thickBot="1" x14ac:dyDescent="0.3">
      <c r="A216" s="4" t="s">
        <v>436</v>
      </c>
      <c r="B216" s="4" t="s">
        <v>29</v>
      </c>
      <c r="C216" s="4" t="s">
        <v>116</v>
      </c>
      <c r="D216" s="4" t="s">
        <v>27</v>
      </c>
      <c r="E216" s="4">
        <v>30</v>
      </c>
      <c r="F216" s="4">
        <v>1458</v>
      </c>
      <c r="G216" s="4">
        <v>342</v>
      </c>
      <c r="H216" s="5">
        <v>0.70199999999999996</v>
      </c>
      <c r="I216" s="4">
        <v>5</v>
      </c>
      <c r="J216" s="4">
        <v>30</v>
      </c>
      <c r="L216" s="10">
        <f t="shared" si="12"/>
        <v>1</v>
      </c>
      <c r="M216" s="18">
        <v>0</v>
      </c>
      <c r="N216" s="10">
        <f t="shared" si="13"/>
        <v>1</v>
      </c>
      <c r="O216" s="10">
        <f t="shared" si="13"/>
        <v>1</v>
      </c>
      <c r="P216" s="10">
        <f t="shared" si="14"/>
        <v>3</v>
      </c>
      <c r="Q216" s="10" t="str">
        <f t="shared" si="15"/>
        <v>★★★</v>
      </c>
    </row>
    <row r="217" spans="1:17" ht="20" thickBot="1" x14ac:dyDescent="0.3">
      <c r="A217" s="4" t="s">
        <v>567</v>
      </c>
      <c r="B217" s="4" t="s">
        <v>568</v>
      </c>
      <c r="C217" s="4" t="s">
        <v>471</v>
      </c>
      <c r="D217" s="4" t="s">
        <v>69</v>
      </c>
      <c r="E217" s="4">
        <v>25</v>
      </c>
      <c r="F217" s="4">
        <v>216</v>
      </c>
      <c r="G217" s="4">
        <v>62</v>
      </c>
      <c r="H217" s="5">
        <v>0.747</v>
      </c>
      <c r="I217" s="4">
        <v>0</v>
      </c>
      <c r="J217" s="4">
        <v>0</v>
      </c>
      <c r="L217" s="10">
        <f t="shared" si="12"/>
        <v>0</v>
      </c>
      <c r="M217" s="18">
        <v>0</v>
      </c>
      <c r="N217" s="10">
        <f t="shared" si="13"/>
        <v>0</v>
      </c>
      <c r="O217" s="10">
        <f t="shared" si="13"/>
        <v>0</v>
      </c>
      <c r="P217" s="10">
        <f t="shared" si="14"/>
        <v>0</v>
      </c>
      <c r="Q217" s="10" t="str">
        <f t="shared" si="15"/>
        <v>☆</v>
      </c>
    </row>
    <row r="218" spans="1:17" ht="20" thickBot="1" x14ac:dyDescent="0.3">
      <c r="A218" s="4" t="s">
        <v>569</v>
      </c>
      <c r="B218" s="4" t="s">
        <v>83</v>
      </c>
      <c r="C218" s="4" t="s">
        <v>476</v>
      </c>
      <c r="D218" s="4" t="s">
        <v>81</v>
      </c>
      <c r="E218" s="4">
        <v>21</v>
      </c>
      <c r="F218" s="4">
        <v>1332</v>
      </c>
      <c r="G218" s="4">
        <v>353</v>
      </c>
      <c r="H218" s="5">
        <v>0.77100000000000002</v>
      </c>
      <c r="I218" s="4">
        <v>3</v>
      </c>
      <c r="J218" s="4">
        <v>15</v>
      </c>
      <c r="L218" s="10">
        <f t="shared" si="12"/>
        <v>1</v>
      </c>
      <c r="M218" s="18">
        <v>0</v>
      </c>
      <c r="N218" s="10">
        <f t="shared" si="13"/>
        <v>0.5</v>
      </c>
      <c r="O218" s="10">
        <f t="shared" si="13"/>
        <v>0.5</v>
      </c>
      <c r="P218" s="10">
        <f t="shared" si="14"/>
        <v>2</v>
      </c>
      <c r="Q218" s="10" t="str">
        <f t="shared" si="15"/>
        <v>★★</v>
      </c>
    </row>
    <row r="219" spans="1:17" ht="20" thickBot="1" x14ac:dyDescent="0.3">
      <c r="A219" s="4" t="s">
        <v>570</v>
      </c>
      <c r="B219" s="4" t="s">
        <v>162</v>
      </c>
      <c r="C219" s="4" t="s">
        <v>476</v>
      </c>
      <c r="D219" s="4" t="s">
        <v>85</v>
      </c>
      <c r="E219" s="4">
        <v>26</v>
      </c>
      <c r="F219" s="4">
        <v>2808</v>
      </c>
      <c r="G219" s="4">
        <v>915</v>
      </c>
      <c r="H219" s="5">
        <v>0.77300000000000002</v>
      </c>
      <c r="I219" s="4">
        <v>11</v>
      </c>
      <c r="J219" s="4">
        <v>46</v>
      </c>
      <c r="L219" s="10">
        <f t="shared" si="12"/>
        <v>1</v>
      </c>
      <c r="M219" s="18">
        <v>0</v>
      </c>
      <c r="N219" s="10">
        <f t="shared" si="13"/>
        <v>1</v>
      </c>
      <c r="O219" s="10">
        <f t="shared" si="13"/>
        <v>1</v>
      </c>
      <c r="P219" s="10">
        <f t="shared" si="14"/>
        <v>3</v>
      </c>
      <c r="Q219" s="10" t="str">
        <f t="shared" si="15"/>
        <v>★★★</v>
      </c>
    </row>
    <row r="220" spans="1:17" ht="20" thickBot="1" x14ac:dyDescent="0.3">
      <c r="A220" s="4" t="s">
        <v>441</v>
      </c>
      <c r="B220" s="4" t="s">
        <v>279</v>
      </c>
      <c r="C220" s="4" t="s">
        <v>116</v>
      </c>
      <c r="D220" s="4" t="s">
        <v>24</v>
      </c>
      <c r="E220" s="4">
        <v>26</v>
      </c>
      <c r="F220" s="4">
        <v>333</v>
      </c>
      <c r="G220" s="4">
        <v>85</v>
      </c>
      <c r="H220" s="5">
        <v>0.69699999999999995</v>
      </c>
      <c r="I220" s="4">
        <v>0</v>
      </c>
      <c r="J220" s="4">
        <v>4</v>
      </c>
      <c r="L220" s="10">
        <f t="shared" si="12"/>
        <v>0</v>
      </c>
      <c r="M220" s="18">
        <v>0</v>
      </c>
      <c r="N220" s="10">
        <f t="shared" si="13"/>
        <v>0</v>
      </c>
      <c r="O220" s="10">
        <f t="shared" si="13"/>
        <v>0</v>
      </c>
      <c r="P220" s="10">
        <f t="shared" si="14"/>
        <v>0</v>
      </c>
      <c r="Q220" s="10" t="str">
        <f t="shared" si="15"/>
        <v>☆</v>
      </c>
    </row>
    <row r="221" spans="1:17" ht="20" thickBot="1" x14ac:dyDescent="0.3">
      <c r="A221" s="4" t="s">
        <v>571</v>
      </c>
      <c r="B221" s="4" t="s">
        <v>241</v>
      </c>
      <c r="C221" s="4" t="s">
        <v>476</v>
      </c>
      <c r="D221" s="4" t="s">
        <v>50</v>
      </c>
      <c r="E221" s="4">
        <v>19</v>
      </c>
      <c r="F221" s="4">
        <v>333</v>
      </c>
      <c r="G221" s="4">
        <v>75</v>
      </c>
      <c r="H221" s="5">
        <v>0.73499999999999999</v>
      </c>
      <c r="I221" s="4">
        <v>0</v>
      </c>
      <c r="J221" s="4">
        <v>8</v>
      </c>
      <c r="L221" s="10">
        <f t="shared" si="12"/>
        <v>0</v>
      </c>
      <c r="M221" s="18">
        <v>0</v>
      </c>
      <c r="N221" s="10">
        <f t="shared" si="13"/>
        <v>0</v>
      </c>
      <c r="O221" s="10">
        <f t="shared" si="13"/>
        <v>0</v>
      </c>
      <c r="P221" s="10">
        <f t="shared" si="14"/>
        <v>0</v>
      </c>
      <c r="Q221" s="10" t="str">
        <f t="shared" si="15"/>
        <v>☆</v>
      </c>
    </row>
    <row r="222" spans="1:17" ht="20" thickBot="1" x14ac:dyDescent="0.3">
      <c r="A222" s="4" t="s">
        <v>572</v>
      </c>
      <c r="B222" s="4" t="s">
        <v>298</v>
      </c>
      <c r="C222" s="4" t="s">
        <v>476</v>
      </c>
      <c r="D222" s="4" t="s">
        <v>18</v>
      </c>
      <c r="E222" s="4">
        <v>23</v>
      </c>
      <c r="F222" s="4">
        <v>558</v>
      </c>
      <c r="G222" s="4">
        <v>170</v>
      </c>
      <c r="H222" s="5">
        <v>0.77300000000000002</v>
      </c>
      <c r="I222" s="4">
        <v>1</v>
      </c>
      <c r="J222" s="4">
        <v>8</v>
      </c>
      <c r="L222" s="10">
        <f t="shared" si="12"/>
        <v>0</v>
      </c>
      <c r="M222" s="18">
        <v>0</v>
      </c>
      <c r="N222" s="10">
        <f t="shared" si="13"/>
        <v>0</v>
      </c>
      <c r="O222" s="10">
        <f t="shared" si="13"/>
        <v>0</v>
      </c>
      <c r="P222" s="10">
        <f t="shared" si="14"/>
        <v>0</v>
      </c>
      <c r="Q222" s="10" t="str">
        <f t="shared" si="15"/>
        <v>☆</v>
      </c>
    </row>
    <row r="223" spans="1:17" ht="20" thickBot="1" x14ac:dyDescent="0.3">
      <c r="A223" s="4" t="s">
        <v>573</v>
      </c>
      <c r="B223" s="4" t="s">
        <v>29</v>
      </c>
      <c r="C223" s="4" t="s">
        <v>471</v>
      </c>
      <c r="D223" s="4" t="s">
        <v>33</v>
      </c>
      <c r="E223" s="4">
        <v>32</v>
      </c>
      <c r="F223" s="4">
        <v>378</v>
      </c>
      <c r="G223" s="4">
        <v>61</v>
      </c>
      <c r="H223" s="5">
        <v>0.70899999999999996</v>
      </c>
      <c r="I223" s="4">
        <v>0</v>
      </c>
      <c r="J223" s="4">
        <v>1</v>
      </c>
      <c r="L223" s="10">
        <f t="shared" si="12"/>
        <v>0</v>
      </c>
      <c r="M223" s="18">
        <v>0</v>
      </c>
      <c r="N223" s="10">
        <f t="shared" si="13"/>
        <v>0</v>
      </c>
      <c r="O223" s="10">
        <f t="shared" si="13"/>
        <v>0</v>
      </c>
      <c r="P223" s="10">
        <f t="shared" si="14"/>
        <v>0</v>
      </c>
      <c r="Q223" s="10" t="str">
        <f t="shared" si="15"/>
        <v>☆</v>
      </c>
    </row>
    <row r="224" spans="1:17" ht="20" thickBot="1" x14ac:dyDescent="0.3">
      <c r="A224" s="4" t="s">
        <v>451</v>
      </c>
      <c r="B224" s="4" t="s">
        <v>29</v>
      </c>
      <c r="C224" s="4" t="s">
        <v>116</v>
      </c>
      <c r="D224" s="4" t="s">
        <v>33</v>
      </c>
      <c r="E224" s="4">
        <v>26</v>
      </c>
      <c r="F224" s="4">
        <v>3213.0000000000005</v>
      </c>
      <c r="G224" s="4">
        <v>1671</v>
      </c>
      <c r="H224" s="5">
        <v>0.78400000000000003</v>
      </c>
      <c r="I224" s="4">
        <v>15</v>
      </c>
      <c r="J224" s="4">
        <v>70</v>
      </c>
      <c r="L224" s="10">
        <f t="shared" si="12"/>
        <v>1</v>
      </c>
      <c r="M224" s="18">
        <v>2</v>
      </c>
      <c r="N224" s="10">
        <f t="shared" si="13"/>
        <v>1</v>
      </c>
      <c r="O224" s="10">
        <f t="shared" si="13"/>
        <v>1</v>
      </c>
      <c r="P224" s="10">
        <f t="shared" si="14"/>
        <v>5</v>
      </c>
      <c r="Q224" s="10" t="str">
        <f t="shared" si="15"/>
        <v>★★★★★</v>
      </c>
    </row>
    <row r="225" spans="1:17" ht="20" thickBot="1" x14ac:dyDescent="0.3">
      <c r="A225" s="4" t="s">
        <v>574</v>
      </c>
      <c r="B225" s="4" t="s">
        <v>62</v>
      </c>
      <c r="C225" s="4" t="s">
        <v>476</v>
      </c>
      <c r="D225" s="4" t="s">
        <v>21</v>
      </c>
      <c r="E225" s="4">
        <v>25</v>
      </c>
      <c r="F225" s="4">
        <v>1287</v>
      </c>
      <c r="G225" s="4">
        <v>302</v>
      </c>
      <c r="H225" s="5">
        <v>0.75700000000000001</v>
      </c>
      <c r="I225" s="4">
        <v>5</v>
      </c>
      <c r="J225" s="4">
        <v>9</v>
      </c>
      <c r="L225" s="10">
        <f t="shared" si="12"/>
        <v>0.5</v>
      </c>
      <c r="M225" s="18">
        <v>0</v>
      </c>
      <c r="N225" s="10">
        <f t="shared" si="13"/>
        <v>1</v>
      </c>
      <c r="O225" s="10">
        <f t="shared" si="13"/>
        <v>0</v>
      </c>
      <c r="P225" s="10">
        <f t="shared" si="14"/>
        <v>1.5</v>
      </c>
      <c r="Q225" s="10" t="str">
        <f t="shared" si="15"/>
        <v>★½</v>
      </c>
    </row>
    <row r="226" spans="1:17" ht="20" thickBot="1" x14ac:dyDescent="0.3">
      <c r="A226" s="4" t="s">
        <v>453</v>
      </c>
      <c r="B226" s="4" t="s">
        <v>29</v>
      </c>
      <c r="C226" s="4" t="s">
        <v>116</v>
      </c>
      <c r="D226" s="4" t="s">
        <v>53</v>
      </c>
      <c r="E226" s="4">
        <v>31</v>
      </c>
      <c r="F226" s="4">
        <v>2286</v>
      </c>
      <c r="G226" s="4">
        <v>859</v>
      </c>
      <c r="H226" s="5">
        <v>0.70099999999999996</v>
      </c>
      <c r="I226" s="4">
        <v>3</v>
      </c>
      <c r="J226" s="4">
        <v>31</v>
      </c>
      <c r="L226" s="10">
        <f t="shared" si="12"/>
        <v>1</v>
      </c>
      <c r="M226" s="18">
        <v>0</v>
      </c>
      <c r="N226" s="10">
        <f t="shared" si="13"/>
        <v>0.5</v>
      </c>
      <c r="O226" s="10">
        <f t="shared" si="13"/>
        <v>1</v>
      </c>
      <c r="P226" s="10">
        <f t="shared" si="14"/>
        <v>2.5</v>
      </c>
      <c r="Q226" s="10" t="str">
        <f t="shared" si="15"/>
        <v>★★½</v>
      </c>
    </row>
    <row r="227" spans="1:17" ht="20" thickBot="1" x14ac:dyDescent="0.3">
      <c r="A227" s="4" t="s">
        <v>457</v>
      </c>
      <c r="B227" s="4" t="s">
        <v>29</v>
      </c>
      <c r="C227" s="4" t="s">
        <v>116</v>
      </c>
      <c r="D227" s="4" t="s">
        <v>35</v>
      </c>
      <c r="E227" s="4">
        <v>21</v>
      </c>
      <c r="F227" s="4">
        <v>2034.0000000000002</v>
      </c>
      <c r="G227" s="4">
        <v>438</v>
      </c>
      <c r="H227" s="5">
        <v>0.80800000000000005</v>
      </c>
      <c r="I227" s="4">
        <v>2</v>
      </c>
      <c r="J227" s="4">
        <v>16</v>
      </c>
      <c r="L227" s="10">
        <f t="shared" si="12"/>
        <v>1</v>
      </c>
      <c r="M227" s="18">
        <v>1</v>
      </c>
      <c r="N227" s="10">
        <f t="shared" si="13"/>
        <v>0.5</v>
      </c>
      <c r="O227" s="10">
        <f t="shared" si="13"/>
        <v>0.5</v>
      </c>
      <c r="P227" s="10">
        <f t="shared" si="14"/>
        <v>3</v>
      </c>
      <c r="Q227" s="10" t="str">
        <f t="shared" si="15"/>
        <v>★★★</v>
      </c>
    </row>
    <row r="228" spans="1:17" ht="20" thickBot="1" x14ac:dyDescent="0.3">
      <c r="A228" s="4" t="s">
        <v>458</v>
      </c>
      <c r="B228" s="4" t="s">
        <v>29</v>
      </c>
      <c r="C228" s="4" t="s">
        <v>116</v>
      </c>
      <c r="D228" s="4" t="s">
        <v>65</v>
      </c>
      <c r="E228" s="4">
        <v>25</v>
      </c>
      <c r="F228" s="4">
        <v>909</v>
      </c>
      <c r="G228" s="4">
        <v>573</v>
      </c>
      <c r="H228" s="5">
        <v>0.86599999999999999</v>
      </c>
      <c r="I228" s="4">
        <v>1</v>
      </c>
      <c r="J228" s="4">
        <v>11</v>
      </c>
      <c r="L228" s="10">
        <f t="shared" si="12"/>
        <v>0</v>
      </c>
      <c r="M228" s="18">
        <v>1</v>
      </c>
      <c r="N228" s="10">
        <f t="shared" si="13"/>
        <v>0</v>
      </c>
      <c r="O228" s="10">
        <f t="shared" si="13"/>
        <v>0</v>
      </c>
      <c r="P228" s="10">
        <f t="shared" si="14"/>
        <v>1</v>
      </c>
      <c r="Q228" s="10" t="str">
        <f t="shared" si="15"/>
        <v>★</v>
      </c>
    </row>
    <row r="229" spans="1:17" ht="20" thickBot="1" x14ac:dyDescent="0.3">
      <c r="A229" s="4" t="s">
        <v>575</v>
      </c>
      <c r="B229" s="4" t="s">
        <v>284</v>
      </c>
      <c r="C229" s="4" t="s">
        <v>476</v>
      </c>
      <c r="D229" s="4" t="s">
        <v>43</v>
      </c>
      <c r="E229" s="4">
        <v>24</v>
      </c>
      <c r="F229" s="4">
        <v>1287</v>
      </c>
      <c r="G229" s="4">
        <v>191</v>
      </c>
      <c r="H229" s="5">
        <v>0.68200000000000005</v>
      </c>
      <c r="I229" s="4">
        <v>8</v>
      </c>
      <c r="J229" s="4">
        <v>8</v>
      </c>
      <c r="L229" s="10">
        <f t="shared" si="12"/>
        <v>0.5</v>
      </c>
      <c r="M229" s="18">
        <v>0</v>
      </c>
      <c r="N229" s="10">
        <f t="shared" si="13"/>
        <v>1</v>
      </c>
      <c r="O229" s="10">
        <f t="shared" si="13"/>
        <v>0</v>
      </c>
      <c r="P229" s="10">
        <f t="shared" si="14"/>
        <v>1.5</v>
      </c>
      <c r="Q229" s="10" t="str">
        <f t="shared" si="15"/>
        <v>★½</v>
      </c>
    </row>
    <row r="230" spans="1:17" ht="20" thickBot="1" x14ac:dyDescent="0.3">
      <c r="A230" s="4" t="s">
        <v>459</v>
      </c>
      <c r="B230" s="4" t="s">
        <v>402</v>
      </c>
      <c r="C230" s="4" t="s">
        <v>228</v>
      </c>
      <c r="D230" s="4" t="s">
        <v>63</v>
      </c>
      <c r="E230" s="4">
        <v>28</v>
      </c>
      <c r="F230" s="4">
        <v>2331</v>
      </c>
      <c r="G230" s="4">
        <v>1346</v>
      </c>
      <c r="H230" s="7">
        <v>0.87</v>
      </c>
      <c r="I230" s="4">
        <v>3</v>
      </c>
      <c r="J230" s="4">
        <v>35</v>
      </c>
      <c r="L230" s="10">
        <f t="shared" si="12"/>
        <v>1</v>
      </c>
      <c r="M230" s="18">
        <v>2</v>
      </c>
      <c r="N230" s="10">
        <f t="shared" si="13"/>
        <v>0.5</v>
      </c>
      <c r="O230" s="10">
        <f t="shared" si="13"/>
        <v>1</v>
      </c>
      <c r="P230" s="10">
        <f t="shared" si="14"/>
        <v>4.5</v>
      </c>
      <c r="Q230" s="10" t="str">
        <f t="shared" si="15"/>
        <v>★★★★½</v>
      </c>
    </row>
    <row r="231" spans="1:17" ht="20" thickBot="1" x14ac:dyDescent="0.3">
      <c r="A231" s="4" t="s">
        <v>576</v>
      </c>
      <c r="B231" s="4" t="s">
        <v>317</v>
      </c>
      <c r="C231" s="4" t="s">
        <v>476</v>
      </c>
      <c r="D231" s="4" t="s">
        <v>21</v>
      </c>
      <c r="E231" s="4">
        <v>28</v>
      </c>
      <c r="F231" s="4">
        <v>1323</v>
      </c>
      <c r="G231" s="4">
        <v>543</v>
      </c>
      <c r="H231" s="5">
        <v>0.73699999999999999</v>
      </c>
      <c r="I231" s="4">
        <v>7</v>
      </c>
      <c r="J231" s="4">
        <v>30</v>
      </c>
      <c r="L231" s="10">
        <f t="shared" si="12"/>
        <v>1</v>
      </c>
      <c r="M231" s="18">
        <v>0</v>
      </c>
      <c r="N231" s="10">
        <f t="shared" si="13"/>
        <v>1</v>
      </c>
      <c r="O231" s="10">
        <f t="shared" si="13"/>
        <v>1</v>
      </c>
      <c r="P231" s="10">
        <f t="shared" si="14"/>
        <v>3</v>
      </c>
      <c r="Q231" s="10" t="str">
        <f t="shared" si="15"/>
        <v>★★★</v>
      </c>
    </row>
    <row r="232" spans="1:17" ht="20" thickBot="1" x14ac:dyDescent="0.3">
      <c r="D232" s="20" t="s">
        <v>94</v>
      </c>
      <c r="E232" s="21">
        <f t="shared" ref="E232:J232" si="16">MEDIAN(E2:E231)</f>
        <v>24</v>
      </c>
      <c r="F232" s="21">
        <f t="shared" si="16"/>
        <v>1287</v>
      </c>
      <c r="G232" s="21">
        <f t="shared" si="16"/>
        <v>401.5</v>
      </c>
      <c r="H232" s="22">
        <v>0.78900000000000003</v>
      </c>
      <c r="I232" s="21">
        <f t="shared" si="16"/>
        <v>2</v>
      </c>
      <c r="J232" s="21">
        <f t="shared" si="16"/>
        <v>13</v>
      </c>
    </row>
    <row r="233" spans="1:17" ht="20" thickBot="1" x14ac:dyDescent="0.3">
      <c r="D233" s="20" t="s">
        <v>464</v>
      </c>
      <c r="E233" s="21">
        <v>24.61</v>
      </c>
      <c r="F233" s="21">
        <v>1316.78</v>
      </c>
      <c r="G233" s="21">
        <v>511.58</v>
      </c>
      <c r="H233" s="22">
        <v>0.78190000000000004</v>
      </c>
      <c r="I233" s="21">
        <v>3.95</v>
      </c>
      <c r="J233" s="21">
        <v>17.25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31DD95-E23E-CA47-A90B-B3A38FCA09CF}">
  <sheetPr codeName="Sheet10">
    <tabColor rgb="FF00FFFF"/>
    <outlinePr summaryBelow="0" summaryRight="0"/>
  </sheetPr>
  <dimension ref="A1:S998"/>
  <sheetViews>
    <sheetView topLeftCell="D175" workbookViewId="0">
      <selection activeCell="E23" sqref="E23"/>
    </sheetView>
  </sheetViews>
  <sheetFormatPr baseColWidth="10" defaultColWidth="12.6640625" defaultRowHeight="19" x14ac:dyDescent="0.25"/>
  <cols>
    <col min="1" max="1" width="32.1640625" style="4" bestFit="1" customWidth="1"/>
    <col min="2" max="2" width="8.6640625" style="4" bestFit="1" customWidth="1"/>
    <col min="3" max="3" width="8.33203125" style="4" bestFit="1" customWidth="1"/>
    <col min="4" max="4" width="18.5" style="4" bestFit="1" customWidth="1"/>
    <col min="5" max="5" width="7.83203125" style="4" bestFit="1" customWidth="1"/>
    <col min="6" max="6" width="10.5" style="4" bestFit="1" customWidth="1"/>
    <col min="7" max="7" width="7.83203125" style="4" bestFit="1" customWidth="1"/>
    <col min="8" max="8" width="20" style="4" bestFit="1" customWidth="1"/>
    <col min="9" max="10" width="14.83203125" style="4" bestFit="1" customWidth="1"/>
    <col min="11" max="11" width="15" style="4" bestFit="1" customWidth="1"/>
    <col min="12" max="12" width="12.6640625" style="4"/>
    <col min="13" max="13" width="14.1640625" style="15" bestFit="1" customWidth="1"/>
    <col min="14" max="14" width="18.33203125" style="15" bestFit="1" customWidth="1"/>
    <col min="15" max="16" width="15.33203125" style="15" bestFit="1" customWidth="1"/>
    <col min="17" max="17" width="24.1640625" style="15" bestFit="1" customWidth="1"/>
    <col min="18" max="18" width="18.1640625" style="15" bestFit="1" customWidth="1"/>
    <col min="19" max="19" width="12.83203125" style="15" bestFit="1" customWidth="1"/>
    <col min="20" max="16384" width="12.6640625" style="4"/>
  </cols>
  <sheetData>
    <row r="1" spans="1:19" ht="20" thickBot="1" x14ac:dyDescent="0.3">
      <c r="A1" s="1" t="s">
        <v>0</v>
      </c>
      <c r="B1" s="1" t="s">
        <v>1</v>
      </c>
      <c r="C1" s="1" t="s">
        <v>97</v>
      </c>
      <c r="D1" s="1" t="s">
        <v>2</v>
      </c>
      <c r="E1" s="1" t="s">
        <v>3</v>
      </c>
      <c r="F1" s="1" t="s">
        <v>5</v>
      </c>
      <c r="G1" s="1" t="s">
        <v>577</v>
      </c>
      <c r="H1" s="2" t="s">
        <v>578</v>
      </c>
      <c r="I1" s="1" t="s">
        <v>579</v>
      </c>
      <c r="J1" s="1" t="s">
        <v>580</v>
      </c>
      <c r="K1" s="3" t="s">
        <v>101</v>
      </c>
      <c r="L1" s="6"/>
      <c r="M1" s="9" t="s">
        <v>8</v>
      </c>
      <c r="N1" s="9" t="s">
        <v>468</v>
      </c>
      <c r="O1" s="9" t="s">
        <v>581</v>
      </c>
      <c r="P1" s="9" t="s">
        <v>582</v>
      </c>
      <c r="Q1" s="9" t="s">
        <v>106</v>
      </c>
      <c r="R1" s="9" t="s">
        <v>11</v>
      </c>
      <c r="S1" s="9" t="s">
        <v>12</v>
      </c>
    </row>
    <row r="2" spans="1:19" ht="20" thickBot="1" x14ac:dyDescent="0.3">
      <c r="A2" s="4" t="s">
        <v>583</v>
      </c>
      <c r="B2" s="4" t="s">
        <v>127</v>
      </c>
      <c r="C2" s="4" t="s">
        <v>584</v>
      </c>
      <c r="D2" s="4" t="s">
        <v>33</v>
      </c>
      <c r="E2" s="4">
        <v>25</v>
      </c>
      <c r="F2" s="4">
        <v>2043</v>
      </c>
      <c r="G2" s="4">
        <v>49</v>
      </c>
      <c r="H2" s="7">
        <v>0.49</v>
      </c>
      <c r="I2" s="4">
        <v>51</v>
      </c>
      <c r="J2" s="4">
        <v>4</v>
      </c>
      <c r="K2" s="6">
        <v>10</v>
      </c>
      <c r="M2" s="18">
        <f>IFERROR(_xlfn.IFS(F2&gt;=G$190,1,F2&gt;=G$189,0.5),0)</f>
        <v>1</v>
      </c>
      <c r="N2" s="23">
        <v>1</v>
      </c>
      <c r="O2" s="18">
        <f>IFERROR(_xlfn.IFS(I2&gt;=I$190,1,I2&gt;=I$189,0.5),0)</f>
        <v>1</v>
      </c>
      <c r="P2" s="18">
        <f>IFERROR(_xlfn.IFS(J2&gt;=J$190,1,J2&gt;=J$189,0.5),0)</f>
        <v>0.5</v>
      </c>
      <c r="Q2" s="18">
        <f>IFERROR(_xlfn.IFS(K2&gt;=K$190,1,K2&gt;=K$189,0.5),0)</f>
        <v>1</v>
      </c>
      <c r="R2" s="10">
        <f>SUM(M2:Q2)</f>
        <v>4.5</v>
      </c>
      <c r="S2" s="10" t="str">
        <f>_xlfn.IFS(R2=0,"☆",R2=0.5,"½", R2=1,"★",R2 =1.5,"★½", R2 =2.5,"★★½", R2=2,"★★", R2=3,"★★★", R2 =3.5,"★★★½",R2=4,"★★★★", R2 =4.5,"★★★★½", R2=5,"★★★★★")</f>
        <v>★★★★½</v>
      </c>
    </row>
    <row r="3" spans="1:19" ht="20" thickBot="1" x14ac:dyDescent="0.3">
      <c r="A3" s="4" t="s">
        <v>113</v>
      </c>
      <c r="B3" s="4" t="s">
        <v>29</v>
      </c>
      <c r="C3" s="4" t="s">
        <v>114</v>
      </c>
      <c r="D3" s="4" t="s">
        <v>87</v>
      </c>
      <c r="E3" s="4">
        <v>31</v>
      </c>
      <c r="F3" s="4">
        <v>1134</v>
      </c>
      <c r="G3" s="4">
        <v>4</v>
      </c>
      <c r="H3" s="7">
        <v>0.25</v>
      </c>
      <c r="I3" s="4">
        <v>19</v>
      </c>
      <c r="J3" s="4">
        <v>2</v>
      </c>
      <c r="K3" s="6">
        <v>3</v>
      </c>
      <c r="M3" s="18">
        <f t="shared" ref="M3:M66" si="0">IFERROR(_xlfn.IFS(F3&gt;=G$190,1,F3&gt;=G$189,0.5),0)</f>
        <v>1</v>
      </c>
      <c r="N3" s="23">
        <v>0</v>
      </c>
      <c r="O3" s="18">
        <f t="shared" ref="O3:Q66" si="1">IFERROR(_xlfn.IFS(I3&gt;=I$190,1,I3&gt;=I$189,0.5),0)</f>
        <v>0</v>
      </c>
      <c r="P3" s="18">
        <f t="shared" si="1"/>
        <v>0</v>
      </c>
      <c r="Q3" s="18">
        <f t="shared" si="1"/>
        <v>0</v>
      </c>
      <c r="R3" s="10">
        <f t="shared" ref="R3:R66" si="2">SUM(M3:Q3)</f>
        <v>1</v>
      </c>
      <c r="S3" s="10" t="str">
        <f t="shared" ref="S3:S66" si="3">_xlfn.IFS(R3=0,"☆",R3=0.5,"½", R3=1,"★",R3 =1.5,"★½", R3 =2.5,"★★½", R3=2,"★★", R3=3,"★★★", R3 =3.5,"★★★½",R3=4,"★★★★", R3 =4.5,"★★★★½", R3=5,"★★★★★")</f>
        <v>★</v>
      </c>
    </row>
    <row r="4" spans="1:19" ht="20" thickBot="1" x14ac:dyDescent="0.3">
      <c r="A4" s="4" t="s">
        <v>119</v>
      </c>
      <c r="B4" s="4" t="s">
        <v>29</v>
      </c>
      <c r="C4" s="4" t="s">
        <v>471</v>
      </c>
      <c r="D4" s="4" t="s">
        <v>65</v>
      </c>
      <c r="E4" s="4">
        <v>25</v>
      </c>
      <c r="F4" s="4">
        <v>657</v>
      </c>
      <c r="G4" s="4">
        <v>4</v>
      </c>
      <c r="H4" s="7">
        <v>0.5</v>
      </c>
      <c r="I4" s="4">
        <v>8</v>
      </c>
      <c r="J4" s="4">
        <v>1</v>
      </c>
      <c r="K4" s="6">
        <v>1</v>
      </c>
      <c r="M4" s="18">
        <f t="shared" si="0"/>
        <v>1</v>
      </c>
      <c r="N4" s="23">
        <v>0</v>
      </c>
      <c r="O4" s="18">
        <f t="shared" si="1"/>
        <v>0</v>
      </c>
      <c r="P4" s="18">
        <f t="shared" si="1"/>
        <v>0</v>
      </c>
      <c r="Q4" s="18">
        <f t="shared" si="1"/>
        <v>0</v>
      </c>
      <c r="R4" s="10">
        <f t="shared" si="2"/>
        <v>1</v>
      </c>
      <c r="S4" s="10" t="str">
        <f t="shared" si="3"/>
        <v>★</v>
      </c>
    </row>
    <row r="5" spans="1:19" ht="20" thickBot="1" x14ac:dyDescent="0.3">
      <c r="A5" s="4" t="s">
        <v>472</v>
      </c>
      <c r="B5" s="4" t="s">
        <v>473</v>
      </c>
      <c r="C5" s="4" t="s">
        <v>471</v>
      </c>
      <c r="D5" s="4" t="s">
        <v>35</v>
      </c>
      <c r="E5" s="4">
        <v>27</v>
      </c>
      <c r="F5" s="4">
        <v>1719.0000000000002</v>
      </c>
      <c r="G5" s="4">
        <v>32</v>
      </c>
      <c r="H5" s="5">
        <v>0.219</v>
      </c>
      <c r="I5" s="4">
        <v>45</v>
      </c>
      <c r="J5" s="4">
        <v>5</v>
      </c>
      <c r="K5" s="6">
        <v>1</v>
      </c>
      <c r="M5" s="18">
        <f t="shared" si="0"/>
        <v>1</v>
      </c>
      <c r="N5" s="23">
        <v>0</v>
      </c>
      <c r="O5" s="18">
        <f t="shared" si="1"/>
        <v>1</v>
      </c>
      <c r="P5" s="18">
        <f t="shared" si="1"/>
        <v>1</v>
      </c>
      <c r="Q5" s="18">
        <f t="shared" si="1"/>
        <v>0</v>
      </c>
      <c r="R5" s="10">
        <f t="shared" si="2"/>
        <v>3</v>
      </c>
      <c r="S5" s="10" t="str">
        <f t="shared" si="3"/>
        <v>★★★</v>
      </c>
    </row>
    <row r="6" spans="1:19" ht="20" thickBot="1" x14ac:dyDescent="0.3">
      <c r="A6" s="4" t="s">
        <v>585</v>
      </c>
      <c r="B6" s="4" t="s">
        <v>376</v>
      </c>
      <c r="C6" s="4" t="s">
        <v>584</v>
      </c>
      <c r="D6" s="4" t="s">
        <v>18</v>
      </c>
      <c r="E6" s="4">
        <v>31</v>
      </c>
      <c r="F6" s="4">
        <v>2970</v>
      </c>
      <c r="G6" s="4">
        <v>83</v>
      </c>
      <c r="H6" s="5">
        <v>0.32500000000000001</v>
      </c>
      <c r="I6" s="4">
        <v>102</v>
      </c>
      <c r="J6" s="4">
        <v>17</v>
      </c>
      <c r="K6" s="6">
        <v>18</v>
      </c>
      <c r="M6" s="18">
        <f t="shared" si="0"/>
        <v>1</v>
      </c>
      <c r="N6" s="23">
        <v>0</v>
      </c>
      <c r="O6" s="18">
        <f t="shared" si="1"/>
        <v>1</v>
      </c>
      <c r="P6" s="18">
        <f t="shared" si="1"/>
        <v>1</v>
      </c>
      <c r="Q6" s="18">
        <f t="shared" si="1"/>
        <v>1</v>
      </c>
      <c r="R6" s="10">
        <f t="shared" si="2"/>
        <v>4</v>
      </c>
      <c r="S6" s="10" t="str">
        <f t="shared" si="3"/>
        <v>★★★★</v>
      </c>
    </row>
    <row r="7" spans="1:19" ht="20" thickBot="1" x14ac:dyDescent="0.3">
      <c r="A7" s="4" t="s">
        <v>474</v>
      </c>
      <c r="B7" s="4" t="s">
        <v>29</v>
      </c>
      <c r="C7" s="4" t="s">
        <v>471</v>
      </c>
      <c r="D7" s="4" t="s">
        <v>69</v>
      </c>
      <c r="E7" s="4">
        <v>19</v>
      </c>
      <c r="F7" s="4">
        <v>27</v>
      </c>
      <c r="G7" s="4">
        <v>1</v>
      </c>
      <c r="H7" s="7">
        <v>0</v>
      </c>
      <c r="I7" s="4">
        <v>0</v>
      </c>
      <c r="J7" s="4">
        <v>0</v>
      </c>
      <c r="K7" s="6">
        <v>0</v>
      </c>
      <c r="M7" s="18">
        <f t="shared" si="0"/>
        <v>0.5</v>
      </c>
      <c r="N7" s="23">
        <v>0</v>
      </c>
      <c r="O7" s="18">
        <f t="shared" si="1"/>
        <v>0</v>
      </c>
      <c r="P7" s="18">
        <f t="shared" si="1"/>
        <v>0</v>
      </c>
      <c r="Q7" s="18">
        <f t="shared" si="1"/>
        <v>0</v>
      </c>
      <c r="R7" s="10">
        <f t="shared" si="2"/>
        <v>0.5</v>
      </c>
      <c r="S7" s="10" t="str">
        <f t="shared" si="3"/>
        <v>½</v>
      </c>
    </row>
    <row r="8" spans="1:19" ht="20" thickBot="1" x14ac:dyDescent="0.3">
      <c r="A8" s="4" t="s">
        <v>586</v>
      </c>
      <c r="B8" s="4" t="s">
        <v>29</v>
      </c>
      <c r="C8" s="4" t="s">
        <v>584</v>
      </c>
      <c r="D8" s="4" t="s">
        <v>33</v>
      </c>
      <c r="E8" s="4">
        <v>24</v>
      </c>
      <c r="F8" s="4">
        <v>1413</v>
      </c>
      <c r="G8" s="4">
        <v>47</v>
      </c>
      <c r="H8" s="5">
        <v>0.29799999999999999</v>
      </c>
      <c r="I8" s="4">
        <v>29</v>
      </c>
      <c r="J8" s="4">
        <v>3</v>
      </c>
      <c r="K8" s="6">
        <v>4</v>
      </c>
      <c r="M8" s="18">
        <f t="shared" si="0"/>
        <v>1</v>
      </c>
      <c r="N8" s="23">
        <v>0</v>
      </c>
      <c r="O8" s="18">
        <f t="shared" si="1"/>
        <v>0.5</v>
      </c>
      <c r="P8" s="18">
        <f t="shared" si="1"/>
        <v>0.5</v>
      </c>
      <c r="Q8" s="18">
        <f t="shared" si="1"/>
        <v>0.5</v>
      </c>
      <c r="R8" s="10">
        <f t="shared" si="2"/>
        <v>2.5</v>
      </c>
      <c r="S8" s="10" t="str">
        <f t="shared" si="3"/>
        <v>★★½</v>
      </c>
    </row>
    <row r="9" spans="1:19" ht="20" thickBot="1" x14ac:dyDescent="0.3">
      <c r="A9" s="4" t="s">
        <v>587</v>
      </c>
      <c r="B9" s="4" t="s">
        <v>588</v>
      </c>
      <c r="C9" s="4" t="s">
        <v>584</v>
      </c>
      <c r="D9" s="4" t="s">
        <v>63</v>
      </c>
      <c r="E9" s="4">
        <v>32</v>
      </c>
      <c r="F9" s="4">
        <v>1035</v>
      </c>
      <c r="G9" s="4">
        <v>33</v>
      </c>
      <c r="H9" s="5">
        <v>0.48499999999999999</v>
      </c>
      <c r="I9" s="4">
        <v>23</v>
      </c>
      <c r="J9" s="4">
        <v>3</v>
      </c>
      <c r="K9" s="6">
        <v>5</v>
      </c>
      <c r="M9" s="18">
        <f t="shared" si="0"/>
        <v>1</v>
      </c>
      <c r="N9" s="23">
        <v>1</v>
      </c>
      <c r="O9" s="18">
        <f t="shared" si="1"/>
        <v>0</v>
      </c>
      <c r="P9" s="18">
        <f t="shared" si="1"/>
        <v>0.5</v>
      </c>
      <c r="Q9" s="18">
        <f t="shared" si="1"/>
        <v>0.5</v>
      </c>
      <c r="R9" s="10">
        <f t="shared" si="2"/>
        <v>3</v>
      </c>
      <c r="S9" s="10" t="str">
        <f t="shared" si="3"/>
        <v>★★★</v>
      </c>
    </row>
    <row r="10" spans="1:19" ht="20" thickBot="1" x14ac:dyDescent="0.3">
      <c r="A10" s="4" t="s">
        <v>589</v>
      </c>
      <c r="B10" s="4" t="s">
        <v>124</v>
      </c>
      <c r="C10" s="4" t="s">
        <v>584</v>
      </c>
      <c r="D10" s="4" t="s">
        <v>30</v>
      </c>
      <c r="E10" s="4">
        <v>29</v>
      </c>
      <c r="F10" s="4">
        <v>2015.9999999999998</v>
      </c>
      <c r="G10" s="4">
        <v>35</v>
      </c>
      <c r="H10" s="5">
        <v>0.22900000000000001</v>
      </c>
      <c r="I10" s="4">
        <v>47</v>
      </c>
      <c r="J10" s="4">
        <v>6</v>
      </c>
      <c r="K10" s="6">
        <v>6</v>
      </c>
      <c r="M10" s="18">
        <f t="shared" si="0"/>
        <v>1</v>
      </c>
      <c r="N10" s="23">
        <v>0</v>
      </c>
      <c r="O10" s="18">
        <f t="shared" si="1"/>
        <v>1</v>
      </c>
      <c r="P10" s="18">
        <f t="shared" si="1"/>
        <v>1</v>
      </c>
      <c r="Q10" s="18">
        <f t="shared" si="1"/>
        <v>1</v>
      </c>
      <c r="R10" s="10">
        <f t="shared" si="2"/>
        <v>4</v>
      </c>
      <c r="S10" s="10" t="str">
        <f t="shared" si="3"/>
        <v>★★★★</v>
      </c>
    </row>
    <row r="11" spans="1:19" ht="20" thickBot="1" x14ac:dyDescent="0.3">
      <c r="A11" s="4" t="s">
        <v>475</v>
      </c>
      <c r="B11" s="4" t="s">
        <v>376</v>
      </c>
      <c r="C11" s="4" t="s">
        <v>476</v>
      </c>
      <c r="D11" s="4" t="s">
        <v>69</v>
      </c>
      <c r="E11" s="4">
        <v>23</v>
      </c>
      <c r="F11" s="4">
        <v>765</v>
      </c>
      <c r="G11" s="4">
        <v>21</v>
      </c>
      <c r="H11" s="5">
        <v>0.38100000000000001</v>
      </c>
      <c r="I11" s="4">
        <v>21</v>
      </c>
      <c r="J11" s="4">
        <v>3</v>
      </c>
      <c r="K11" s="6">
        <v>3</v>
      </c>
      <c r="M11" s="18">
        <f t="shared" si="0"/>
        <v>1</v>
      </c>
      <c r="N11" s="23">
        <v>0</v>
      </c>
      <c r="O11" s="18">
        <f t="shared" si="1"/>
        <v>0</v>
      </c>
      <c r="P11" s="18">
        <f t="shared" si="1"/>
        <v>0.5</v>
      </c>
      <c r="Q11" s="18">
        <f t="shared" si="1"/>
        <v>0</v>
      </c>
      <c r="R11" s="10">
        <f t="shared" si="2"/>
        <v>1.5</v>
      </c>
      <c r="S11" s="10" t="str">
        <f t="shared" si="3"/>
        <v>★½</v>
      </c>
    </row>
    <row r="12" spans="1:19" ht="20" thickBot="1" x14ac:dyDescent="0.3">
      <c r="A12" s="4" t="s">
        <v>590</v>
      </c>
      <c r="B12" s="4" t="s">
        <v>29</v>
      </c>
      <c r="C12" s="4" t="s">
        <v>584</v>
      </c>
      <c r="D12" s="4" t="s">
        <v>63</v>
      </c>
      <c r="E12" s="4">
        <v>20</v>
      </c>
      <c r="F12" s="4">
        <v>72</v>
      </c>
      <c r="G12" s="4">
        <v>3</v>
      </c>
      <c r="H12" s="7">
        <v>0</v>
      </c>
      <c r="I12" s="4">
        <v>0</v>
      </c>
      <c r="J12" s="4">
        <v>0</v>
      </c>
      <c r="K12" s="6">
        <v>0</v>
      </c>
      <c r="M12" s="18">
        <f t="shared" si="0"/>
        <v>1</v>
      </c>
      <c r="N12" s="23">
        <v>0</v>
      </c>
      <c r="O12" s="18">
        <f t="shared" si="1"/>
        <v>0</v>
      </c>
      <c r="P12" s="18">
        <f t="shared" si="1"/>
        <v>0</v>
      </c>
      <c r="Q12" s="18">
        <f t="shared" si="1"/>
        <v>0</v>
      </c>
      <c r="R12" s="10">
        <f t="shared" si="2"/>
        <v>1</v>
      </c>
      <c r="S12" s="10" t="str">
        <f t="shared" si="3"/>
        <v>★</v>
      </c>
    </row>
    <row r="13" spans="1:19" ht="20" thickBot="1" x14ac:dyDescent="0.3">
      <c r="A13" s="4" t="s">
        <v>591</v>
      </c>
      <c r="B13" s="4" t="s">
        <v>29</v>
      </c>
      <c r="C13" s="4" t="s">
        <v>584</v>
      </c>
      <c r="D13" s="4" t="s">
        <v>58</v>
      </c>
      <c r="E13" s="4">
        <v>27</v>
      </c>
      <c r="F13" s="4">
        <v>558</v>
      </c>
      <c r="G13" s="4">
        <v>20</v>
      </c>
      <c r="H13" s="7">
        <v>0.25</v>
      </c>
      <c r="I13" s="4">
        <v>12</v>
      </c>
      <c r="J13" s="4">
        <v>3</v>
      </c>
      <c r="K13" s="6">
        <v>4</v>
      </c>
      <c r="M13" s="18">
        <f t="shared" si="0"/>
        <v>1</v>
      </c>
      <c r="N13" s="23">
        <v>0</v>
      </c>
      <c r="O13" s="18">
        <f t="shared" si="1"/>
        <v>0</v>
      </c>
      <c r="P13" s="18">
        <f t="shared" si="1"/>
        <v>0.5</v>
      </c>
      <c r="Q13" s="18">
        <f t="shared" si="1"/>
        <v>0.5</v>
      </c>
      <c r="R13" s="10">
        <f t="shared" si="2"/>
        <v>2</v>
      </c>
      <c r="S13" s="10" t="str">
        <f t="shared" si="3"/>
        <v>★★</v>
      </c>
    </row>
    <row r="14" spans="1:19" ht="20" thickBot="1" x14ac:dyDescent="0.3">
      <c r="A14" s="4" t="s">
        <v>592</v>
      </c>
      <c r="B14" s="4" t="s">
        <v>29</v>
      </c>
      <c r="C14" s="4" t="s">
        <v>584</v>
      </c>
      <c r="D14" s="4" t="s">
        <v>53</v>
      </c>
      <c r="E14" s="4">
        <v>31</v>
      </c>
      <c r="F14" s="4">
        <v>810</v>
      </c>
      <c r="G14" s="4">
        <v>15</v>
      </c>
      <c r="H14" s="5">
        <v>0.33300000000000002</v>
      </c>
      <c r="I14" s="4">
        <v>21</v>
      </c>
      <c r="J14" s="4">
        <v>1</v>
      </c>
      <c r="K14" s="6">
        <v>1</v>
      </c>
      <c r="M14" s="18">
        <f t="shared" si="0"/>
        <v>1</v>
      </c>
      <c r="N14" s="23">
        <v>0</v>
      </c>
      <c r="O14" s="18">
        <f t="shared" si="1"/>
        <v>0</v>
      </c>
      <c r="P14" s="18">
        <f t="shared" si="1"/>
        <v>0</v>
      </c>
      <c r="Q14" s="18">
        <f t="shared" si="1"/>
        <v>0</v>
      </c>
      <c r="R14" s="10">
        <f t="shared" si="2"/>
        <v>1</v>
      </c>
      <c r="S14" s="10" t="str">
        <f t="shared" si="3"/>
        <v>★</v>
      </c>
    </row>
    <row r="15" spans="1:19" ht="20" thickBot="1" x14ac:dyDescent="0.3">
      <c r="A15" s="4" t="s">
        <v>477</v>
      </c>
      <c r="B15" s="4" t="s">
        <v>29</v>
      </c>
      <c r="C15" s="4" t="s">
        <v>476</v>
      </c>
      <c r="D15" s="4" t="s">
        <v>87</v>
      </c>
      <c r="E15" s="4">
        <v>23</v>
      </c>
      <c r="F15" s="4">
        <v>2097</v>
      </c>
      <c r="G15" s="4">
        <v>67</v>
      </c>
      <c r="H15" s="5">
        <v>0.35799999999999998</v>
      </c>
      <c r="I15" s="4">
        <v>57</v>
      </c>
      <c r="J15" s="4">
        <v>13</v>
      </c>
      <c r="K15" s="6">
        <v>16</v>
      </c>
      <c r="M15" s="18">
        <f t="shared" si="0"/>
        <v>1</v>
      </c>
      <c r="N15" s="23">
        <v>1</v>
      </c>
      <c r="O15" s="18">
        <f t="shared" si="1"/>
        <v>1</v>
      </c>
      <c r="P15" s="18">
        <f t="shared" si="1"/>
        <v>1</v>
      </c>
      <c r="Q15" s="18">
        <f t="shared" si="1"/>
        <v>1</v>
      </c>
      <c r="R15" s="10">
        <f t="shared" si="2"/>
        <v>5</v>
      </c>
      <c r="S15" s="10" t="str">
        <f t="shared" si="3"/>
        <v>★★★★★</v>
      </c>
    </row>
    <row r="16" spans="1:19" ht="20" thickBot="1" x14ac:dyDescent="0.3">
      <c r="A16" s="4" t="s">
        <v>478</v>
      </c>
      <c r="B16" s="4" t="s">
        <v>479</v>
      </c>
      <c r="C16" s="4" t="s">
        <v>476</v>
      </c>
      <c r="D16" s="4" t="s">
        <v>18</v>
      </c>
      <c r="E16" s="4">
        <v>25</v>
      </c>
      <c r="F16" s="4">
        <v>2169</v>
      </c>
      <c r="G16" s="4">
        <v>63</v>
      </c>
      <c r="H16" s="5">
        <v>0.34899999999999998</v>
      </c>
      <c r="I16" s="4">
        <v>69</v>
      </c>
      <c r="J16" s="4">
        <v>8</v>
      </c>
      <c r="K16" s="6">
        <v>14</v>
      </c>
      <c r="M16" s="18">
        <f t="shared" si="0"/>
        <v>1</v>
      </c>
      <c r="N16" s="23">
        <v>1</v>
      </c>
      <c r="O16" s="18">
        <f t="shared" si="1"/>
        <v>1</v>
      </c>
      <c r="P16" s="18">
        <f t="shared" si="1"/>
        <v>1</v>
      </c>
      <c r="Q16" s="18">
        <f t="shared" si="1"/>
        <v>1</v>
      </c>
      <c r="R16" s="10">
        <f t="shared" si="2"/>
        <v>5</v>
      </c>
      <c r="S16" s="10" t="str">
        <f t="shared" si="3"/>
        <v>★★★★★</v>
      </c>
    </row>
    <row r="17" spans="1:19" ht="20" thickBot="1" x14ac:dyDescent="0.3">
      <c r="A17" s="4" t="s">
        <v>593</v>
      </c>
      <c r="B17" s="4" t="s">
        <v>162</v>
      </c>
      <c r="C17" s="4" t="s">
        <v>584</v>
      </c>
      <c r="D17" s="4" t="s">
        <v>30</v>
      </c>
      <c r="E17" s="4">
        <v>30</v>
      </c>
      <c r="F17" s="4">
        <v>1143</v>
      </c>
      <c r="G17" s="4">
        <v>39</v>
      </c>
      <c r="H17" s="5">
        <v>0.33300000000000002</v>
      </c>
      <c r="I17" s="4">
        <v>20</v>
      </c>
      <c r="J17" s="4">
        <v>1</v>
      </c>
      <c r="K17" s="6">
        <v>5</v>
      </c>
      <c r="M17" s="18">
        <f t="shared" si="0"/>
        <v>1</v>
      </c>
      <c r="N17" s="23">
        <v>0</v>
      </c>
      <c r="O17" s="18">
        <f t="shared" si="1"/>
        <v>0</v>
      </c>
      <c r="P17" s="18">
        <f t="shared" si="1"/>
        <v>0</v>
      </c>
      <c r="Q17" s="18">
        <f t="shared" si="1"/>
        <v>0.5</v>
      </c>
      <c r="R17" s="10">
        <f t="shared" si="2"/>
        <v>1.5</v>
      </c>
      <c r="S17" s="10" t="str">
        <f t="shared" si="3"/>
        <v>★½</v>
      </c>
    </row>
    <row r="18" spans="1:19" ht="20" thickBot="1" x14ac:dyDescent="0.3">
      <c r="A18" s="4" t="s">
        <v>480</v>
      </c>
      <c r="B18" s="4" t="s">
        <v>60</v>
      </c>
      <c r="C18" s="4" t="s">
        <v>476</v>
      </c>
      <c r="D18" s="4" t="s">
        <v>65</v>
      </c>
      <c r="E18" s="4">
        <v>23</v>
      </c>
      <c r="F18" s="4">
        <v>567</v>
      </c>
      <c r="G18" s="4">
        <v>19</v>
      </c>
      <c r="H18" s="5">
        <v>0.52600000000000002</v>
      </c>
      <c r="I18" s="4">
        <v>20</v>
      </c>
      <c r="J18" s="4">
        <v>3</v>
      </c>
      <c r="K18" s="6">
        <v>4</v>
      </c>
      <c r="M18" s="18">
        <f t="shared" si="0"/>
        <v>1</v>
      </c>
      <c r="N18" s="23">
        <v>0</v>
      </c>
      <c r="O18" s="18">
        <f t="shared" si="1"/>
        <v>0</v>
      </c>
      <c r="P18" s="18">
        <f t="shared" si="1"/>
        <v>0.5</v>
      </c>
      <c r="Q18" s="18">
        <f t="shared" si="1"/>
        <v>0.5</v>
      </c>
      <c r="R18" s="10">
        <f t="shared" si="2"/>
        <v>2</v>
      </c>
      <c r="S18" s="10" t="str">
        <f t="shared" si="3"/>
        <v>★★</v>
      </c>
    </row>
    <row r="19" spans="1:19" ht="20" thickBot="1" x14ac:dyDescent="0.3">
      <c r="A19" s="4" t="s">
        <v>594</v>
      </c>
      <c r="B19" s="4" t="s">
        <v>29</v>
      </c>
      <c r="C19" s="4" t="s">
        <v>584</v>
      </c>
      <c r="D19" s="4" t="s">
        <v>18</v>
      </c>
      <c r="E19" s="4">
        <v>24</v>
      </c>
      <c r="F19" s="4">
        <v>2979</v>
      </c>
      <c r="G19" s="4">
        <v>80</v>
      </c>
      <c r="H19" s="5">
        <v>0.41299999999999998</v>
      </c>
      <c r="I19" s="4">
        <v>95</v>
      </c>
      <c r="J19" s="4">
        <v>21</v>
      </c>
      <c r="K19" s="6">
        <v>22</v>
      </c>
      <c r="M19" s="18">
        <f t="shared" si="0"/>
        <v>1</v>
      </c>
      <c r="N19" s="23">
        <v>1</v>
      </c>
      <c r="O19" s="18">
        <f t="shared" si="1"/>
        <v>1</v>
      </c>
      <c r="P19" s="18">
        <f t="shared" si="1"/>
        <v>1</v>
      </c>
      <c r="Q19" s="18">
        <f t="shared" si="1"/>
        <v>1</v>
      </c>
      <c r="R19" s="10">
        <f t="shared" si="2"/>
        <v>5</v>
      </c>
      <c r="S19" s="10" t="str">
        <f t="shared" si="3"/>
        <v>★★★★★</v>
      </c>
    </row>
    <row r="20" spans="1:19" ht="20" thickBot="1" x14ac:dyDescent="0.3">
      <c r="A20" s="4" t="s">
        <v>595</v>
      </c>
      <c r="B20" s="4" t="s">
        <v>596</v>
      </c>
      <c r="C20" s="4" t="s">
        <v>584</v>
      </c>
      <c r="D20" s="4" t="s">
        <v>33</v>
      </c>
      <c r="E20" s="4">
        <v>19</v>
      </c>
      <c r="F20" s="4">
        <v>1970.9999999999998</v>
      </c>
      <c r="G20" s="4">
        <v>48</v>
      </c>
      <c r="H20" s="5">
        <v>0.39600000000000002</v>
      </c>
      <c r="I20" s="4">
        <v>37</v>
      </c>
      <c r="J20" s="4">
        <v>3</v>
      </c>
      <c r="K20" s="6">
        <v>6</v>
      </c>
      <c r="M20" s="18">
        <f t="shared" si="0"/>
        <v>1</v>
      </c>
      <c r="N20" s="23">
        <v>1</v>
      </c>
      <c r="O20" s="18">
        <f t="shared" si="1"/>
        <v>1</v>
      </c>
      <c r="P20" s="18">
        <f t="shared" si="1"/>
        <v>0.5</v>
      </c>
      <c r="Q20" s="18">
        <f t="shared" si="1"/>
        <v>1</v>
      </c>
      <c r="R20" s="10">
        <f t="shared" si="2"/>
        <v>4.5</v>
      </c>
      <c r="S20" s="10" t="str">
        <f t="shared" si="3"/>
        <v>★★★★½</v>
      </c>
    </row>
    <row r="21" spans="1:19" ht="20" thickBot="1" x14ac:dyDescent="0.3">
      <c r="A21" s="4" t="s">
        <v>481</v>
      </c>
      <c r="B21" s="4" t="s">
        <v>20</v>
      </c>
      <c r="C21" s="4" t="s">
        <v>476</v>
      </c>
      <c r="D21" s="4" t="s">
        <v>65</v>
      </c>
      <c r="E21" s="4">
        <v>20</v>
      </c>
      <c r="F21" s="4">
        <v>90</v>
      </c>
      <c r="G21" s="4">
        <v>1</v>
      </c>
      <c r="H21" s="7">
        <v>1</v>
      </c>
      <c r="I21" s="4">
        <v>5</v>
      </c>
      <c r="J21" s="4">
        <v>1</v>
      </c>
      <c r="K21" s="6">
        <v>0</v>
      </c>
      <c r="M21" s="18">
        <f t="shared" si="0"/>
        <v>1</v>
      </c>
      <c r="N21" s="23">
        <v>0</v>
      </c>
      <c r="O21" s="18">
        <f t="shared" si="1"/>
        <v>0</v>
      </c>
      <c r="P21" s="18">
        <f t="shared" si="1"/>
        <v>0</v>
      </c>
      <c r="Q21" s="18">
        <f t="shared" si="1"/>
        <v>0</v>
      </c>
      <c r="R21" s="10">
        <f t="shared" si="2"/>
        <v>1</v>
      </c>
      <c r="S21" s="10" t="str">
        <f t="shared" si="3"/>
        <v>★</v>
      </c>
    </row>
    <row r="22" spans="1:19" ht="20" thickBot="1" x14ac:dyDescent="0.3">
      <c r="A22" s="4" t="s">
        <v>482</v>
      </c>
      <c r="B22" s="4" t="s">
        <v>32</v>
      </c>
      <c r="C22" s="4" t="s">
        <v>476</v>
      </c>
      <c r="D22" s="4" t="s">
        <v>69</v>
      </c>
      <c r="E22" s="4">
        <v>24</v>
      </c>
      <c r="F22" s="4">
        <v>1899.0000000000002</v>
      </c>
      <c r="G22" s="4">
        <v>44</v>
      </c>
      <c r="H22" s="5">
        <v>0.318</v>
      </c>
      <c r="I22" s="4">
        <v>74</v>
      </c>
      <c r="J22" s="4">
        <v>10</v>
      </c>
      <c r="K22" s="6">
        <v>10</v>
      </c>
      <c r="M22" s="18">
        <f t="shared" si="0"/>
        <v>1</v>
      </c>
      <c r="N22" s="23">
        <v>0</v>
      </c>
      <c r="O22" s="18">
        <f t="shared" si="1"/>
        <v>1</v>
      </c>
      <c r="P22" s="18">
        <f t="shared" si="1"/>
        <v>1</v>
      </c>
      <c r="Q22" s="18">
        <f t="shared" si="1"/>
        <v>1</v>
      </c>
      <c r="R22" s="10">
        <f t="shared" si="2"/>
        <v>4</v>
      </c>
      <c r="S22" s="10" t="str">
        <f t="shared" si="3"/>
        <v>★★★★</v>
      </c>
    </row>
    <row r="23" spans="1:19" ht="20" thickBot="1" x14ac:dyDescent="0.3">
      <c r="A23" s="4" t="s">
        <v>597</v>
      </c>
      <c r="B23" s="4" t="s">
        <v>29</v>
      </c>
      <c r="C23" s="4" t="s">
        <v>584</v>
      </c>
      <c r="D23" s="4" t="s">
        <v>27</v>
      </c>
      <c r="E23" s="4">
        <v>24</v>
      </c>
      <c r="F23" s="4">
        <v>1287</v>
      </c>
      <c r="G23" s="4">
        <v>30</v>
      </c>
      <c r="H23" s="5">
        <v>0.36699999999999999</v>
      </c>
      <c r="I23" s="4">
        <v>30</v>
      </c>
      <c r="J23" s="4">
        <v>4</v>
      </c>
      <c r="K23" s="6">
        <v>7</v>
      </c>
      <c r="M23" s="18">
        <f t="shared" si="0"/>
        <v>1</v>
      </c>
      <c r="N23" s="23">
        <v>1</v>
      </c>
      <c r="O23" s="18">
        <f t="shared" si="1"/>
        <v>0.5</v>
      </c>
      <c r="P23" s="18">
        <f t="shared" si="1"/>
        <v>0.5</v>
      </c>
      <c r="Q23" s="18">
        <f t="shared" si="1"/>
        <v>1</v>
      </c>
      <c r="R23" s="10">
        <f t="shared" si="2"/>
        <v>4</v>
      </c>
      <c r="S23" s="10" t="str">
        <f t="shared" si="3"/>
        <v>★★★★</v>
      </c>
    </row>
    <row r="24" spans="1:19" ht="20" thickBot="1" x14ac:dyDescent="0.3">
      <c r="A24" s="4" t="s">
        <v>483</v>
      </c>
      <c r="B24" s="4" t="s">
        <v>29</v>
      </c>
      <c r="C24" s="4" t="s">
        <v>476</v>
      </c>
      <c r="D24" s="4" t="s">
        <v>50</v>
      </c>
      <c r="E24" s="4">
        <v>23</v>
      </c>
      <c r="F24" s="4">
        <v>441.00000000000006</v>
      </c>
      <c r="G24" s="4">
        <v>4</v>
      </c>
      <c r="H24" s="7">
        <v>0</v>
      </c>
      <c r="I24" s="4">
        <v>5</v>
      </c>
      <c r="J24" s="4">
        <v>0</v>
      </c>
      <c r="K24" s="6">
        <v>0</v>
      </c>
      <c r="M24" s="18">
        <f t="shared" si="0"/>
        <v>1</v>
      </c>
      <c r="N24" s="23">
        <v>0</v>
      </c>
      <c r="O24" s="18">
        <f t="shared" si="1"/>
        <v>0</v>
      </c>
      <c r="P24" s="18">
        <f t="shared" si="1"/>
        <v>0</v>
      </c>
      <c r="Q24" s="18">
        <f t="shared" si="1"/>
        <v>0</v>
      </c>
      <c r="R24" s="10">
        <f t="shared" si="2"/>
        <v>1</v>
      </c>
      <c r="S24" s="10" t="str">
        <f t="shared" si="3"/>
        <v>★</v>
      </c>
    </row>
    <row r="25" spans="1:19" ht="20" thickBot="1" x14ac:dyDescent="0.3">
      <c r="A25" s="4" t="s">
        <v>598</v>
      </c>
      <c r="B25" s="4" t="s">
        <v>142</v>
      </c>
      <c r="C25" s="4" t="s">
        <v>584</v>
      </c>
      <c r="D25" s="4" t="s">
        <v>47</v>
      </c>
      <c r="E25" s="4">
        <v>34</v>
      </c>
      <c r="F25" s="4">
        <v>765</v>
      </c>
      <c r="G25" s="4">
        <v>18</v>
      </c>
      <c r="H25" s="5">
        <v>0.33300000000000002</v>
      </c>
      <c r="I25" s="4">
        <v>11</v>
      </c>
      <c r="J25" s="4">
        <v>2</v>
      </c>
      <c r="K25" s="6">
        <v>3</v>
      </c>
      <c r="M25" s="18">
        <f t="shared" si="0"/>
        <v>1</v>
      </c>
      <c r="N25" s="23">
        <v>0</v>
      </c>
      <c r="O25" s="18">
        <f t="shared" si="1"/>
        <v>0</v>
      </c>
      <c r="P25" s="18">
        <f t="shared" si="1"/>
        <v>0</v>
      </c>
      <c r="Q25" s="18">
        <f t="shared" si="1"/>
        <v>0</v>
      </c>
      <c r="R25" s="10">
        <f t="shared" si="2"/>
        <v>1</v>
      </c>
      <c r="S25" s="10" t="str">
        <f t="shared" si="3"/>
        <v>★</v>
      </c>
    </row>
    <row r="26" spans="1:19" ht="20" thickBot="1" x14ac:dyDescent="0.3">
      <c r="A26" s="4" t="s">
        <v>599</v>
      </c>
      <c r="B26" s="4" t="s">
        <v>14</v>
      </c>
      <c r="C26" s="4" t="s">
        <v>584</v>
      </c>
      <c r="D26" s="4" t="s">
        <v>39</v>
      </c>
      <c r="E26" s="4">
        <v>18</v>
      </c>
      <c r="F26" s="4">
        <v>9</v>
      </c>
      <c r="G26" s="4">
        <v>0</v>
      </c>
      <c r="H26" s="11" t="s">
        <v>129</v>
      </c>
      <c r="I26" s="4">
        <v>0</v>
      </c>
      <c r="J26" s="4">
        <v>0</v>
      </c>
      <c r="K26" s="6">
        <v>0</v>
      </c>
      <c r="M26" s="18">
        <f t="shared" si="0"/>
        <v>0</v>
      </c>
      <c r="N26" s="23">
        <v>0</v>
      </c>
      <c r="O26" s="18">
        <f t="shared" si="1"/>
        <v>0</v>
      </c>
      <c r="P26" s="18">
        <f t="shared" si="1"/>
        <v>0</v>
      </c>
      <c r="Q26" s="18">
        <f t="shared" si="1"/>
        <v>0</v>
      </c>
      <c r="R26" s="10">
        <f t="shared" si="2"/>
        <v>0</v>
      </c>
      <c r="S26" s="10" t="str">
        <f t="shared" si="3"/>
        <v>☆</v>
      </c>
    </row>
    <row r="27" spans="1:19" ht="20" thickBot="1" x14ac:dyDescent="0.3">
      <c r="A27" s="4" t="s">
        <v>484</v>
      </c>
      <c r="B27" s="4" t="s">
        <v>29</v>
      </c>
      <c r="C27" s="4" t="s">
        <v>471</v>
      </c>
      <c r="D27" s="4" t="s">
        <v>69</v>
      </c>
      <c r="E27" s="4">
        <v>17</v>
      </c>
      <c r="F27" s="4">
        <v>297</v>
      </c>
      <c r="G27" s="4">
        <v>4</v>
      </c>
      <c r="H27" s="7">
        <v>0.25</v>
      </c>
      <c r="I27" s="4">
        <v>4</v>
      </c>
      <c r="J27" s="4">
        <v>1</v>
      </c>
      <c r="K27" s="6">
        <v>1</v>
      </c>
      <c r="M27" s="18">
        <f t="shared" si="0"/>
        <v>1</v>
      </c>
      <c r="N27" s="23">
        <v>0</v>
      </c>
      <c r="O27" s="18">
        <f t="shared" si="1"/>
        <v>0</v>
      </c>
      <c r="P27" s="18">
        <f t="shared" si="1"/>
        <v>0</v>
      </c>
      <c r="Q27" s="18">
        <f t="shared" si="1"/>
        <v>0</v>
      </c>
      <c r="R27" s="10">
        <f t="shared" si="2"/>
        <v>1</v>
      </c>
      <c r="S27" s="10" t="str">
        <f t="shared" si="3"/>
        <v>★</v>
      </c>
    </row>
    <row r="28" spans="1:19" ht="20" thickBot="1" x14ac:dyDescent="0.3">
      <c r="A28" s="4" t="s">
        <v>600</v>
      </c>
      <c r="B28" s="4" t="s">
        <v>55</v>
      </c>
      <c r="C28" s="4" t="s">
        <v>584</v>
      </c>
      <c r="D28" s="4" t="s">
        <v>85</v>
      </c>
      <c r="E28" s="4">
        <v>21</v>
      </c>
      <c r="F28" s="4">
        <v>153</v>
      </c>
      <c r="G28" s="4">
        <v>2</v>
      </c>
      <c r="H28" s="7">
        <v>0</v>
      </c>
      <c r="I28" s="4">
        <v>2</v>
      </c>
      <c r="J28" s="4">
        <v>0</v>
      </c>
      <c r="K28" s="6">
        <v>0</v>
      </c>
      <c r="M28" s="18">
        <f t="shared" si="0"/>
        <v>1</v>
      </c>
      <c r="N28" s="23">
        <v>0</v>
      </c>
      <c r="O28" s="18">
        <f t="shared" si="1"/>
        <v>0</v>
      </c>
      <c r="P28" s="18">
        <f t="shared" si="1"/>
        <v>0</v>
      </c>
      <c r="Q28" s="18">
        <f t="shared" si="1"/>
        <v>0</v>
      </c>
      <c r="R28" s="10">
        <f t="shared" si="2"/>
        <v>1</v>
      </c>
      <c r="S28" s="10" t="str">
        <f t="shared" si="3"/>
        <v>★</v>
      </c>
    </row>
    <row r="29" spans="1:19" ht="20" thickBot="1" x14ac:dyDescent="0.3">
      <c r="A29" s="4" t="s">
        <v>485</v>
      </c>
      <c r="B29" s="4" t="s">
        <v>133</v>
      </c>
      <c r="C29" s="4" t="s">
        <v>476</v>
      </c>
      <c r="D29" s="4" t="s">
        <v>53</v>
      </c>
      <c r="E29" s="4">
        <v>24</v>
      </c>
      <c r="F29" s="4">
        <v>1764.0000000000002</v>
      </c>
      <c r="G29" s="4">
        <v>46</v>
      </c>
      <c r="H29" s="5">
        <v>0.47799999999999998</v>
      </c>
      <c r="I29" s="4">
        <v>27</v>
      </c>
      <c r="J29" s="4">
        <v>6</v>
      </c>
      <c r="K29" s="6">
        <v>10</v>
      </c>
      <c r="M29" s="18">
        <f t="shared" si="0"/>
        <v>1</v>
      </c>
      <c r="N29" s="23">
        <v>1</v>
      </c>
      <c r="O29" s="18">
        <f t="shared" si="1"/>
        <v>0.5</v>
      </c>
      <c r="P29" s="18">
        <f t="shared" si="1"/>
        <v>1</v>
      </c>
      <c r="Q29" s="18">
        <f t="shared" si="1"/>
        <v>1</v>
      </c>
      <c r="R29" s="10">
        <f t="shared" si="2"/>
        <v>4.5</v>
      </c>
      <c r="S29" s="10" t="str">
        <f t="shared" si="3"/>
        <v>★★★★½</v>
      </c>
    </row>
    <row r="30" spans="1:19" ht="20" thickBot="1" x14ac:dyDescent="0.3">
      <c r="A30" s="4" t="s">
        <v>486</v>
      </c>
      <c r="B30" s="4" t="s">
        <v>14</v>
      </c>
      <c r="C30" s="4" t="s">
        <v>471</v>
      </c>
      <c r="D30" s="4" t="s">
        <v>69</v>
      </c>
      <c r="E30" s="4">
        <v>29</v>
      </c>
      <c r="F30" s="4">
        <v>1332</v>
      </c>
      <c r="G30" s="4">
        <v>43</v>
      </c>
      <c r="H30" s="5">
        <v>0.372</v>
      </c>
      <c r="I30" s="4">
        <v>54</v>
      </c>
      <c r="J30" s="4">
        <v>6</v>
      </c>
      <c r="K30" s="6">
        <v>8</v>
      </c>
      <c r="M30" s="18">
        <f t="shared" si="0"/>
        <v>1</v>
      </c>
      <c r="N30" s="23">
        <v>1</v>
      </c>
      <c r="O30" s="18">
        <f t="shared" si="1"/>
        <v>1</v>
      </c>
      <c r="P30" s="18">
        <f t="shared" si="1"/>
        <v>1</v>
      </c>
      <c r="Q30" s="18">
        <f t="shared" si="1"/>
        <v>1</v>
      </c>
      <c r="R30" s="10">
        <f t="shared" si="2"/>
        <v>5</v>
      </c>
      <c r="S30" s="10" t="str">
        <f t="shared" si="3"/>
        <v>★★★★★</v>
      </c>
    </row>
    <row r="31" spans="1:19" ht="20" thickBot="1" x14ac:dyDescent="0.3">
      <c r="A31" s="4" t="s">
        <v>487</v>
      </c>
      <c r="B31" s="4" t="s">
        <v>122</v>
      </c>
      <c r="C31" s="4" t="s">
        <v>476</v>
      </c>
      <c r="D31" s="4" t="s">
        <v>24</v>
      </c>
      <c r="E31" s="4">
        <v>22</v>
      </c>
      <c r="F31" s="4">
        <v>1143</v>
      </c>
      <c r="G31" s="4">
        <v>35</v>
      </c>
      <c r="H31" s="5">
        <v>0.28599999999999998</v>
      </c>
      <c r="I31" s="4">
        <v>40</v>
      </c>
      <c r="J31" s="4">
        <v>6</v>
      </c>
      <c r="K31" s="6">
        <v>7</v>
      </c>
      <c r="M31" s="18">
        <f t="shared" si="0"/>
        <v>1</v>
      </c>
      <c r="N31" s="23">
        <v>0</v>
      </c>
      <c r="O31" s="18">
        <f t="shared" si="1"/>
        <v>1</v>
      </c>
      <c r="P31" s="18">
        <f t="shared" si="1"/>
        <v>1</v>
      </c>
      <c r="Q31" s="18">
        <f t="shared" si="1"/>
        <v>1</v>
      </c>
      <c r="R31" s="10">
        <f t="shared" si="2"/>
        <v>4</v>
      </c>
      <c r="S31" s="10" t="str">
        <f t="shared" si="3"/>
        <v>★★★★</v>
      </c>
    </row>
    <row r="32" spans="1:19" ht="20" thickBot="1" x14ac:dyDescent="0.3">
      <c r="A32" s="4" t="s">
        <v>601</v>
      </c>
      <c r="B32" s="4" t="s">
        <v>530</v>
      </c>
      <c r="C32" s="4" t="s">
        <v>584</v>
      </c>
      <c r="D32" s="4" t="s">
        <v>87</v>
      </c>
      <c r="E32" s="4">
        <v>22</v>
      </c>
      <c r="F32" s="4">
        <v>1161</v>
      </c>
      <c r="G32" s="4">
        <v>26</v>
      </c>
      <c r="H32" s="5">
        <v>0.57699999999999996</v>
      </c>
      <c r="I32" s="4">
        <v>24</v>
      </c>
      <c r="J32" s="4">
        <v>7</v>
      </c>
      <c r="K32" s="6">
        <v>8</v>
      </c>
      <c r="M32" s="18">
        <f t="shared" si="0"/>
        <v>1</v>
      </c>
      <c r="N32" s="23">
        <v>1</v>
      </c>
      <c r="O32" s="18">
        <f t="shared" si="1"/>
        <v>0</v>
      </c>
      <c r="P32" s="18">
        <f t="shared" si="1"/>
        <v>1</v>
      </c>
      <c r="Q32" s="18">
        <f t="shared" si="1"/>
        <v>1</v>
      </c>
      <c r="R32" s="10">
        <f t="shared" si="2"/>
        <v>4</v>
      </c>
      <c r="S32" s="10" t="str">
        <f t="shared" si="3"/>
        <v>★★★★</v>
      </c>
    </row>
    <row r="33" spans="1:19" ht="20" thickBot="1" x14ac:dyDescent="0.3">
      <c r="A33" s="4" t="s">
        <v>488</v>
      </c>
      <c r="B33" s="4" t="s">
        <v>29</v>
      </c>
      <c r="C33" s="4" t="s">
        <v>471</v>
      </c>
      <c r="D33" s="4" t="s">
        <v>43</v>
      </c>
      <c r="E33" s="4">
        <v>22</v>
      </c>
      <c r="F33" s="4">
        <v>261</v>
      </c>
      <c r="G33" s="4">
        <v>1</v>
      </c>
      <c r="H33" s="7">
        <v>0</v>
      </c>
      <c r="I33" s="4">
        <v>5</v>
      </c>
      <c r="J33" s="4">
        <v>0</v>
      </c>
      <c r="K33" s="6">
        <v>0</v>
      </c>
      <c r="M33" s="18">
        <f t="shared" si="0"/>
        <v>1</v>
      </c>
      <c r="N33" s="23">
        <v>0</v>
      </c>
      <c r="O33" s="18">
        <f t="shared" si="1"/>
        <v>0</v>
      </c>
      <c r="P33" s="18">
        <f t="shared" si="1"/>
        <v>0</v>
      </c>
      <c r="Q33" s="18">
        <f t="shared" si="1"/>
        <v>0</v>
      </c>
      <c r="R33" s="10">
        <f t="shared" si="2"/>
        <v>1</v>
      </c>
      <c r="S33" s="10" t="str">
        <f t="shared" si="3"/>
        <v>★</v>
      </c>
    </row>
    <row r="34" spans="1:19" ht="20" thickBot="1" x14ac:dyDescent="0.3">
      <c r="A34" s="4" t="s">
        <v>602</v>
      </c>
      <c r="B34" s="4" t="s">
        <v>29</v>
      </c>
      <c r="C34" s="4" t="s">
        <v>584</v>
      </c>
      <c r="D34" s="4" t="s">
        <v>69</v>
      </c>
      <c r="E34" s="4">
        <v>23</v>
      </c>
      <c r="F34" s="4">
        <v>9</v>
      </c>
      <c r="G34" s="4">
        <v>0</v>
      </c>
      <c r="H34" s="11" t="s">
        <v>129</v>
      </c>
      <c r="I34" s="4">
        <v>0</v>
      </c>
      <c r="J34" s="4">
        <v>0</v>
      </c>
      <c r="K34" s="6">
        <v>0</v>
      </c>
      <c r="M34" s="18">
        <f t="shared" si="0"/>
        <v>0</v>
      </c>
      <c r="N34" s="23">
        <v>0</v>
      </c>
      <c r="O34" s="18">
        <f t="shared" si="1"/>
        <v>0</v>
      </c>
      <c r="P34" s="18">
        <f t="shared" si="1"/>
        <v>0</v>
      </c>
      <c r="Q34" s="18">
        <f t="shared" si="1"/>
        <v>0</v>
      </c>
      <c r="R34" s="10">
        <f t="shared" si="2"/>
        <v>0</v>
      </c>
      <c r="S34" s="10" t="str">
        <f t="shared" si="3"/>
        <v>☆</v>
      </c>
    </row>
    <row r="35" spans="1:19" ht="20" thickBot="1" x14ac:dyDescent="0.3">
      <c r="A35" s="4" t="s">
        <v>603</v>
      </c>
      <c r="B35" s="4" t="s">
        <v>29</v>
      </c>
      <c r="C35" s="4" t="s">
        <v>584</v>
      </c>
      <c r="D35" s="4" t="s">
        <v>24</v>
      </c>
      <c r="E35" s="4">
        <v>33</v>
      </c>
      <c r="F35" s="4">
        <v>27</v>
      </c>
      <c r="G35" s="4">
        <v>2</v>
      </c>
      <c r="H35" s="7">
        <v>0</v>
      </c>
      <c r="I35" s="4">
        <v>1</v>
      </c>
      <c r="J35" s="4">
        <v>0</v>
      </c>
      <c r="K35" s="6">
        <v>0</v>
      </c>
      <c r="M35" s="18">
        <f t="shared" si="0"/>
        <v>0.5</v>
      </c>
      <c r="N35" s="23">
        <v>0</v>
      </c>
      <c r="O35" s="18">
        <f t="shared" si="1"/>
        <v>0</v>
      </c>
      <c r="P35" s="18">
        <f t="shared" si="1"/>
        <v>0</v>
      </c>
      <c r="Q35" s="18">
        <f t="shared" si="1"/>
        <v>0</v>
      </c>
      <c r="R35" s="10">
        <f t="shared" si="2"/>
        <v>0.5</v>
      </c>
      <c r="S35" s="10" t="str">
        <f t="shared" si="3"/>
        <v>½</v>
      </c>
    </row>
    <row r="36" spans="1:19" ht="20" thickBot="1" x14ac:dyDescent="0.3">
      <c r="A36" s="4" t="s">
        <v>604</v>
      </c>
      <c r="B36" s="4" t="s">
        <v>29</v>
      </c>
      <c r="C36" s="4" t="s">
        <v>584</v>
      </c>
      <c r="D36" s="4" t="s">
        <v>39</v>
      </c>
      <c r="E36" s="4">
        <v>18</v>
      </c>
      <c r="F36" s="4">
        <v>9</v>
      </c>
      <c r="G36" s="4">
        <v>0</v>
      </c>
      <c r="H36" s="11" t="s">
        <v>129</v>
      </c>
      <c r="I36" s="4">
        <v>1</v>
      </c>
      <c r="J36" s="4">
        <v>0</v>
      </c>
      <c r="K36" s="6">
        <v>0</v>
      </c>
      <c r="M36" s="18">
        <f t="shared" si="0"/>
        <v>0</v>
      </c>
      <c r="N36" s="23">
        <v>0</v>
      </c>
      <c r="O36" s="18">
        <f t="shared" si="1"/>
        <v>0</v>
      </c>
      <c r="P36" s="18">
        <f t="shared" si="1"/>
        <v>0</v>
      </c>
      <c r="Q36" s="18">
        <f t="shared" si="1"/>
        <v>0</v>
      </c>
      <c r="R36" s="10">
        <f t="shared" si="2"/>
        <v>0</v>
      </c>
      <c r="S36" s="10" t="str">
        <f t="shared" si="3"/>
        <v>☆</v>
      </c>
    </row>
    <row r="37" spans="1:19" ht="20" thickBot="1" x14ac:dyDescent="0.3">
      <c r="A37" s="4" t="s">
        <v>489</v>
      </c>
      <c r="B37" s="4" t="s">
        <v>219</v>
      </c>
      <c r="C37" s="4" t="s">
        <v>476</v>
      </c>
      <c r="D37" s="4" t="s">
        <v>24</v>
      </c>
      <c r="E37" s="4">
        <v>23</v>
      </c>
      <c r="F37" s="4">
        <v>2583</v>
      </c>
      <c r="G37" s="4">
        <v>61</v>
      </c>
      <c r="H37" s="5">
        <v>0.443</v>
      </c>
      <c r="I37" s="4">
        <v>91</v>
      </c>
      <c r="J37" s="4">
        <v>12</v>
      </c>
      <c r="K37" s="6">
        <v>16</v>
      </c>
      <c r="M37" s="18">
        <f t="shared" si="0"/>
        <v>1</v>
      </c>
      <c r="N37" s="23">
        <v>1</v>
      </c>
      <c r="O37" s="18">
        <f t="shared" si="1"/>
        <v>1</v>
      </c>
      <c r="P37" s="18">
        <f t="shared" si="1"/>
        <v>1</v>
      </c>
      <c r="Q37" s="18">
        <f t="shared" si="1"/>
        <v>1</v>
      </c>
      <c r="R37" s="10">
        <f t="shared" si="2"/>
        <v>5</v>
      </c>
      <c r="S37" s="10" t="str">
        <f t="shared" si="3"/>
        <v>★★★★★</v>
      </c>
    </row>
    <row r="38" spans="1:19" ht="20" thickBot="1" x14ac:dyDescent="0.3">
      <c r="A38" s="4" t="s">
        <v>605</v>
      </c>
      <c r="B38" s="4" t="s">
        <v>122</v>
      </c>
      <c r="C38" s="4" t="s">
        <v>584</v>
      </c>
      <c r="D38" s="4" t="s">
        <v>15</v>
      </c>
      <c r="E38" s="4">
        <v>24</v>
      </c>
      <c r="F38" s="4">
        <v>954</v>
      </c>
      <c r="G38" s="4">
        <v>38</v>
      </c>
      <c r="H38" s="5">
        <v>0.36799999999999999</v>
      </c>
      <c r="I38" s="4">
        <v>49</v>
      </c>
      <c r="J38" s="4">
        <v>4</v>
      </c>
      <c r="K38" s="6">
        <v>7</v>
      </c>
      <c r="M38" s="18">
        <f t="shared" si="0"/>
        <v>1</v>
      </c>
      <c r="N38" s="23">
        <v>1</v>
      </c>
      <c r="O38" s="18">
        <f t="shared" si="1"/>
        <v>1</v>
      </c>
      <c r="P38" s="18">
        <f t="shared" si="1"/>
        <v>0.5</v>
      </c>
      <c r="Q38" s="18">
        <f t="shared" si="1"/>
        <v>1</v>
      </c>
      <c r="R38" s="10">
        <f t="shared" si="2"/>
        <v>4.5</v>
      </c>
      <c r="S38" s="10" t="str">
        <f t="shared" si="3"/>
        <v>★★★★½</v>
      </c>
    </row>
    <row r="39" spans="1:19" ht="20" thickBot="1" x14ac:dyDescent="0.3">
      <c r="A39" s="4" t="s">
        <v>490</v>
      </c>
      <c r="B39" s="4" t="s">
        <v>29</v>
      </c>
      <c r="C39" s="4" t="s">
        <v>476</v>
      </c>
      <c r="D39" s="4" t="s">
        <v>27</v>
      </c>
      <c r="E39" s="4">
        <v>18</v>
      </c>
      <c r="F39" s="4">
        <v>36</v>
      </c>
      <c r="G39" s="4">
        <v>0</v>
      </c>
      <c r="H39" s="11" t="s">
        <v>129</v>
      </c>
      <c r="I39" s="4">
        <v>0</v>
      </c>
      <c r="J39" s="4">
        <v>0</v>
      </c>
      <c r="K39" s="6">
        <v>0</v>
      </c>
      <c r="M39" s="18">
        <f t="shared" si="0"/>
        <v>1</v>
      </c>
      <c r="N39" s="23">
        <v>0</v>
      </c>
      <c r="O39" s="18">
        <f t="shared" si="1"/>
        <v>0</v>
      </c>
      <c r="P39" s="18">
        <f t="shared" si="1"/>
        <v>0</v>
      </c>
      <c r="Q39" s="18">
        <f t="shared" si="1"/>
        <v>0</v>
      </c>
      <c r="R39" s="10">
        <f t="shared" si="2"/>
        <v>1</v>
      </c>
      <c r="S39" s="10" t="str">
        <f t="shared" si="3"/>
        <v>★</v>
      </c>
    </row>
    <row r="40" spans="1:19" ht="20" thickBot="1" x14ac:dyDescent="0.3">
      <c r="A40" s="4" t="s">
        <v>491</v>
      </c>
      <c r="B40" s="4" t="s">
        <v>29</v>
      </c>
      <c r="C40" s="4" t="s">
        <v>476</v>
      </c>
      <c r="D40" s="4" t="s">
        <v>50</v>
      </c>
      <c r="E40" s="4">
        <v>23</v>
      </c>
      <c r="F40" s="4">
        <v>909</v>
      </c>
      <c r="G40" s="4">
        <v>8</v>
      </c>
      <c r="H40" s="7">
        <v>0.25</v>
      </c>
      <c r="I40" s="4">
        <v>23</v>
      </c>
      <c r="J40" s="4">
        <v>1</v>
      </c>
      <c r="K40" s="6">
        <v>2</v>
      </c>
      <c r="M40" s="18">
        <f t="shared" si="0"/>
        <v>1</v>
      </c>
      <c r="N40" s="23">
        <v>0</v>
      </c>
      <c r="O40" s="18">
        <f t="shared" si="1"/>
        <v>0</v>
      </c>
      <c r="P40" s="18">
        <f t="shared" si="1"/>
        <v>0</v>
      </c>
      <c r="Q40" s="18">
        <f t="shared" si="1"/>
        <v>0</v>
      </c>
      <c r="R40" s="10">
        <f t="shared" si="2"/>
        <v>1</v>
      </c>
      <c r="S40" s="10" t="str">
        <f t="shared" si="3"/>
        <v>★</v>
      </c>
    </row>
    <row r="41" spans="1:19" ht="20" thickBot="1" x14ac:dyDescent="0.3">
      <c r="A41" s="4" t="s">
        <v>606</v>
      </c>
      <c r="B41" s="4" t="s">
        <v>17</v>
      </c>
      <c r="C41" s="4" t="s">
        <v>584</v>
      </c>
      <c r="D41" s="4" t="s">
        <v>30</v>
      </c>
      <c r="E41" s="4">
        <v>23</v>
      </c>
      <c r="F41" s="4">
        <v>1565.9999999999998</v>
      </c>
      <c r="G41" s="4">
        <v>38</v>
      </c>
      <c r="H41" s="5">
        <v>0.44700000000000001</v>
      </c>
      <c r="I41" s="4">
        <v>39</v>
      </c>
      <c r="J41" s="4">
        <v>3</v>
      </c>
      <c r="K41" s="6">
        <v>9</v>
      </c>
      <c r="M41" s="18">
        <f t="shared" si="0"/>
        <v>1</v>
      </c>
      <c r="N41" s="23">
        <v>1</v>
      </c>
      <c r="O41" s="18">
        <f t="shared" si="1"/>
        <v>1</v>
      </c>
      <c r="P41" s="18">
        <f t="shared" si="1"/>
        <v>0.5</v>
      </c>
      <c r="Q41" s="18">
        <f t="shared" si="1"/>
        <v>1</v>
      </c>
      <c r="R41" s="10">
        <f t="shared" si="2"/>
        <v>4.5</v>
      </c>
      <c r="S41" s="10" t="str">
        <f t="shared" si="3"/>
        <v>★★★★½</v>
      </c>
    </row>
    <row r="42" spans="1:19" ht="20" thickBot="1" x14ac:dyDescent="0.3">
      <c r="A42" s="4" t="s">
        <v>607</v>
      </c>
      <c r="B42" s="4" t="s">
        <v>75</v>
      </c>
      <c r="C42" s="4" t="s">
        <v>584</v>
      </c>
      <c r="D42" s="4" t="s">
        <v>47</v>
      </c>
      <c r="E42" s="4">
        <v>19</v>
      </c>
      <c r="F42" s="4">
        <v>1215</v>
      </c>
      <c r="G42" s="4">
        <v>21</v>
      </c>
      <c r="H42" s="5">
        <v>0.33300000000000002</v>
      </c>
      <c r="I42" s="4">
        <v>18</v>
      </c>
      <c r="J42" s="4">
        <v>5</v>
      </c>
      <c r="K42" s="6">
        <v>4</v>
      </c>
      <c r="M42" s="18">
        <f t="shared" si="0"/>
        <v>1</v>
      </c>
      <c r="N42" s="23">
        <v>0</v>
      </c>
      <c r="O42" s="18">
        <f t="shared" si="1"/>
        <v>0</v>
      </c>
      <c r="P42" s="18">
        <f t="shared" si="1"/>
        <v>1</v>
      </c>
      <c r="Q42" s="18">
        <f t="shared" si="1"/>
        <v>0.5</v>
      </c>
      <c r="R42" s="10">
        <f t="shared" si="2"/>
        <v>2.5</v>
      </c>
      <c r="S42" s="10" t="str">
        <f t="shared" si="3"/>
        <v>★★½</v>
      </c>
    </row>
    <row r="43" spans="1:19" ht="20" thickBot="1" x14ac:dyDescent="0.3">
      <c r="A43" s="4" t="s">
        <v>492</v>
      </c>
      <c r="B43" s="4" t="s">
        <v>57</v>
      </c>
      <c r="C43" s="4" t="s">
        <v>471</v>
      </c>
      <c r="D43" s="4" t="s">
        <v>33</v>
      </c>
      <c r="E43" s="4">
        <v>26</v>
      </c>
      <c r="F43" s="4">
        <v>2043</v>
      </c>
      <c r="G43" s="4">
        <v>43</v>
      </c>
      <c r="H43" s="5">
        <v>0.39500000000000002</v>
      </c>
      <c r="I43" s="4">
        <v>52</v>
      </c>
      <c r="J43" s="4">
        <v>5</v>
      </c>
      <c r="K43" s="6">
        <v>6</v>
      </c>
      <c r="M43" s="18">
        <f t="shared" si="0"/>
        <v>1</v>
      </c>
      <c r="N43" s="23">
        <v>1</v>
      </c>
      <c r="O43" s="18">
        <f t="shared" si="1"/>
        <v>1</v>
      </c>
      <c r="P43" s="18">
        <f t="shared" si="1"/>
        <v>1</v>
      </c>
      <c r="Q43" s="18">
        <f t="shared" si="1"/>
        <v>1</v>
      </c>
      <c r="R43" s="10">
        <f t="shared" si="2"/>
        <v>5</v>
      </c>
      <c r="S43" s="10" t="str">
        <f t="shared" si="3"/>
        <v>★★★★★</v>
      </c>
    </row>
    <row r="44" spans="1:19" ht="20" thickBot="1" x14ac:dyDescent="0.3">
      <c r="A44" s="4" t="s">
        <v>493</v>
      </c>
      <c r="B44" s="4" t="s">
        <v>29</v>
      </c>
      <c r="C44" s="4" t="s">
        <v>471</v>
      </c>
      <c r="D44" s="4" t="s">
        <v>30</v>
      </c>
      <c r="E44" s="4">
        <v>23</v>
      </c>
      <c r="F44" s="4">
        <v>603</v>
      </c>
      <c r="G44" s="4">
        <v>10</v>
      </c>
      <c r="H44" s="7">
        <v>0.1</v>
      </c>
      <c r="I44" s="4">
        <v>22</v>
      </c>
      <c r="J44" s="4">
        <v>2</v>
      </c>
      <c r="K44" s="6">
        <v>2</v>
      </c>
      <c r="M44" s="18">
        <f t="shared" si="0"/>
        <v>1</v>
      </c>
      <c r="N44" s="23">
        <v>0</v>
      </c>
      <c r="O44" s="18">
        <f t="shared" si="1"/>
        <v>0</v>
      </c>
      <c r="P44" s="18">
        <f t="shared" si="1"/>
        <v>0</v>
      </c>
      <c r="Q44" s="18">
        <f t="shared" si="1"/>
        <v>0</v>
      </c>
      <c r="R44" s="10">
        <f t="shared" si="2"/>
        <v>1</v>
      </c>
      <c r="S44" s="10" t="str">
        <f t="shared" si="3"/>
        <v>★</v>
      </c>
    </row>
    <row r="45" spans="1:19" ht="20" thickBot="1" x14ac:dyDescent="0.3">
      <c r="A45" s="4" t="s">
        <v>608</v>
      </c>
      <c r="B45" s="4" t="s">
        <v>14</v>
      </c>
      <c r="C45" s="4" t="s">
        <v>584</v>
      </c>
      <c r="D45" s="4" t="s">
        <v>15</v>
      </c>
      <c r="E45" s="4">
        <v>29</v>
      </c>
      <c r="F45" s="4">
        <v>990</v>
      </c>
      <c r="G45" s="4">
        <v>30</v>
      </c>
      <c r="H45" s="5">
        <v>0.36699999999999999</v>
      </c>
      <c r="I45" s="4">
        <v>37</v>
      </c>
      <c r="J45" s="4">
        <v>6</v>
      </c>
      <c r="K45" s="6">
        <v>9</v>
      </c>
      <c r="M45" s="18">
        <f t="shared" si="0"/>
        <v>1</v>
      </c>
      <c r="N45" s="23">
        <v>1</v>
      </c>
      <c r="O45" s="18">
        <f t="shared" si="1"/>
        <v>1</v>
      </c>
      <c r="P45" s="18">
        <f t="shared" si="1"/>
        <v>1</v>
      </c>
      <c r="Q45" s="18">
        <f t="shared" si="1"/>
        <v>1</v>
      </c>
      <c r="R45" s="10">
        <f t="shared" si="2"/>
        <v>5</v>
      </c>
      <c r="S45" s="10" t="str">
        <f t="shared" si="3"/>
        <v>★★★★★</v>
      </c>
    </row>
    <row r="46" spans="1:19" ht="20" thickBot="1" x14ac:dyDescent="0.3">
      <c r="A46" s="4" t="s">
        <v>609</v>
      </c>
      <c r="B46" s="4" t="s">
        <v>29</v>
      </c>
      <c r="C46" s="4" t="s">
        <v>584</v>
      </c>
      <c r="D46" s="4" t="s">
        <v>24</v>
      </c>
      <c r="E46" s="4">
        <v>25</v>
      </c>
      <c r="F46" s="4">
        <v>27</v>
      </c>
      <c r="G46" s="4">
        <v>2</v>
      </c>
      <c r="H46" s="7">
        <v>0.5</v>
      </c>
      <c r="I46" s="4">
        <v>2</v>
      </c>
      <c r="J46" s="4">
        <v>0</v>
      </c>
      <c r="K46" s="6">
        <v>0</v>
      </c>
      <c r="M46" s="18">
        <f t="shared" si="0"/>
        <v>0.5</v>
      </c>
      <c r="N46" s="23">
        <v>0</v>
      </c>
      <c r="O46" s="18">
        <f t="shared" si="1"/>
        <v>0</v>
      </c>
      <c r="P46" s="18">
        <f t="shared" si="1"/>
        <v>0</v>
      </c>
      <c r="Q46" s="18">
        <f t="shared" si="1"/>
        <v>0</v>
      </c>
      <c r="R46" s="10">
        <f t="shared" si="2"/>
        <v>0.5</v>
      </c>
      <c r="S46" s="10" t="str">
        <f t="shared" si="3"/>
        <v>½</v>
      </c>
    </row>
    <row r="47" spans="1:19" ht="20" thickBot="1" x14ac:dyDescent="0.3">
      <c r="A47" s="4" t="s">
        <v>610</v>
      </c>
      <c r="B47" s="4" t="s">
        <v>29</v>
      </c>
      <c r="C47" s="4" t="s">
        <v>584</v>
      </c>
      <c r="D47" s="4" t="s">
        <v>39</v>
      </c>
      <c r="E47" s="4">
        <v>21</v>
      </c>
      <c r="F47" s="4">
        <v>2124</v>
      </c>
      <c r="G47" s="4">
        <v>58</v>
      </c>
      <c r="H47" s="5">
        <v>0.379</v>
      </c>
      <c r="I47" s="4">
        <v>83</v>
      </c>
      <c r="J47" s="4">
        <v>13</v>
      </c>
      <c r="K47" s="6">
        <v>14</v>
      </c>
      <c r="M47" s="18">
        <f t="shared" si="0"/>
        <v>1</v>
      </c>
      <c r="N47" s="23">
        <v>1</v>
      </c>
      <c r="O47" s="18">
        <f t="shared" si="1"/>
        <v>1</v>
      </c>
      <c r="P47" s="18">
        <f t="shared" si="1"/>
        <v>1</v>
      </c>
      <c r="Q47" s="18">
        <f t="shared" si="1"/>
        <v>1</v>
      </c>
      <c r="R47" s="10">
        <f t="shared" si="2"/>
        <v>5</v>
      </c>
      <c r="S47" s="10" t="str">
        <f t="shared" si="3"/>
        <v>★★★★★</v>
      </c>
    </row>
    <row r="48" spans="1:19" ht="20" thickBot="1" x14ac:dyDescent="0.3">
      <c r="A48" s="4" t="s">
        <v>494</v>
      </c>
      <c r="B48" s="4" t="s">
        <v>20</v>
      </c>
      <c r="C48" s="4" t="s">
        <v>476</v>
      </c>
      <c r="D48" s="4" t="s">
        <v>18</v>
      </c>
      <c r="E48" s="4">
        <v>25</v>
      </c>
      <c r="F48" s="4">
        <v>2799</v>
      </c>
      <c r="G48" s="4">
        <v>43</v>
      </c>
      <c r="H48" s="5">
        <v>0.25600000000000001</v>
      </c>
      <c r="I48" s="4">
        <v>87</v>
      </c>
      <c r="J48" s="4">
        <v>9</v>
      </c>
      <c r="K48" s="6">
        <v>9</v>
      </c>
      <c r="M48" s="18">
        <f t="shared" si="0"/>
        <v>1</v>
      </c>
      <c r="N48" s="23">
        <v>0</v>
      </c>
      <c r="O48" s="18">
        <f t="shared" si="1"/>
        <v>1</v>
      </c>
      <c r="P48" s="18">
        <f t="shared" si="1"/>
        <v>1</v>
      </c>
      <c r="Q48" s="18">
        <f t="shared" si="1"/>
        <v>1</v>
      </c>
      <c r="R48" s="10">
        <f t="shared" si="2"/>
        <v>4</v>
      </c>
      <c r="S48" s="10" t="str">
        <f t="shared" si="3"/>
        <v>★★★★</v>
      </c>
    </row>
    <row r="49" spans="1:19" ht="20" thickBot="1" x14ac:dyDescent="0.3">
      <c r="A49" s="4" t="s">
        <v>495</v>
      </c>
      <c r="B49" s="4" t="s">
        <v>496</v>
      </c>
      <c r="C49" s="4" t="s">
        <v>476</v>
      </c>
      <c r="D49" s="4" t="s">
        <v>43</v>
      </c>
      <c r="E49" s="4">
        <v>22</v>
      </c>
      <c r="F49" s="4">
        <v>206.99999999999997</v>
      </c>
      <c r="G49" s="4">
        <v>5</v>
      </c>
      <c r="H49" s="7">
        <v>0</v>
      </c>
      <c r="I49" s="4">
        <v>2</v>
      </c>
      <c r="J49" s="4">
        <v>1</v>
      </c>
      <c r="K49" s="6">
        <v>1</v>
      </c>
      <c r="M49" s="18">
        <f t="shared" si="0"/>
        <v>1</v>
      </c>
      <c r="N49" s="23">
        <v>0</v>
      </c>
      <c r="O49" s="18">
        <f t="shared" si="1"/>
        <v>0</v>
      </c>
      <c r="P49" s="18">
        <f t="shared" si="1"/>
        <v>0</v>
      </c>
      <c r="Q49" s="18">
        <f t="shared" si="1"/>
        <v>0</v>
      </c>
      <c r="R49" s="10">
        <f t="shared" si="2"/>
        <v>1</v>
      </c>
      <c r="S49" s="10" t="str">
        <f t="shared" si="3"/>
        <v>★</v>
      </c>
    </row>
    <row r="50" spans="1:19" ht="20" thickBot="1" x14ac:dyDescent="0.3">
      <c r="A50" s="4" t="s">
        <v>497</v>
      </c>
      <c r="B50" s="4" t="s">
        <v>127</v>
      </c>
      <c r="C50" s="4" t="s">
        <v>476</v>
      </c>
      <c r="D50" s="4" t="s">
        <v>35</v>
      </c>
      <c r="E50" s="4">
        <v>27</v>
      </c>
      <c r="F50" s="4">
        <v>1467</v>
      </c>
      <c r="G50" s="4">
        <v>24</v>
      </c>
      <c r="H50" s="5">
        <v>0.29199999999999998</v>
      </c>
      <c r="I50" s="4">
        <v>47</v>
      </c>
      <c r="J50" s="4">
        <v>6</v>
      </c>
      <c r="K50" s="6">
        <v>5</v>
      </c>
      <c r="M50" s="18">
        <f t="shared" si="0"/>
        <v>1</v>
      </c>
      <c r="N50" s="23">
        <v>0</v>
      </c>
      <c r="O50" s="18">
        <f t="shared" si="1"/>
        <v>1</v>
      </c>
      <c r="P50" s="18">
        <f t="shared" si="1"/>
        <v>1</v>
      </c>
      <c r="Q50" s="18">
        <f t="shared" si="1"/>
        <v>0.5</v>
      </c>
      <c r="R50" s="10">
        <f t="shared" si="2"/>
        <v>3.5</v>
      </c>
      <c r="S50" s="10" t="str">
        <f t="shared" si="3"/>
        <v>★★★½</v>
      </c>
    </row>
    <row r="51" spans="1:19" ht="20" thickBot="1" x14ac:dyDescent="0.3">
      <c r="A51" s="4" t="s">
        <v>611</v>
      </c>
      <c r="B51" s="4" t="s">
        <v>20</v>
      </c>
      <c r="C51" s="4" t="s">
        <v>584</v>
      </c>
      <c r="D51" s="4" t="s">
        <v>47</v>
      </c>
      <c r="E51" s="4">
        <v>17</v>
      </c>
      <c r="F51" s="4">
        <v>9</v>
      </c>
      <c r="G51" s="4">
        <v>0</v>
      </c>
      <c r="H51" s="11" t="s">
        <v>129</v>
      </c>
      <c r="I51" s="4">
        <v>0</v>
      </c>
      <c r="J51" s="4">
        <v>0</v>
      </c>
      <c r="K51" s="6">
        <v>0</v>
      </c>
      <c r="M51" s="18">
        <f t="shared" si="0"/>
        <v>0</v>
      </c>
      <c r="N51" s="23">
        <v>0</v>
      </c>
      <c r="O51" s="18">
        <f t="shared" si="1"/>
        <v>0</v>
      </c>
      <c r="P51" s="18">
        <f t="shared" si="1"/>
        <v>0</v>
      </c>
      <c r="Q51" s="18">
        <f t="shared" si="1"/>
        <v>0</v>
      </c>
      <c r="R51" s="10">
        <f t="shared" si="2"/>
        <v>0</v>
      </c>
      <c r="S51" s="10" t="str">
        <f t="shared" si="3"/>
        <v>☆</v>
      </c>
    </row>
    <row r="52" spans="1:19" ht="20" thickBot="1" x14ac:dyDescent="0.3">
      <c r="A52" s="4" t="s">
        <v>612</v>
      </c>
      <c r="B52" s="4" t="s">
        <v>29</v>
      </c>
      <c r="C52" s="4" t="s">
        <v>584</v>
      </c>
      <c r="D52" s="4" t="s">
        <v>35</v>
      </c>
      <c r="E52" s="4">
        <v>30</v>
      </c>
      <c r="F52" s="4">
        <v>36</v>
      </c>
      <c r="G52" s="4">
        <v>2</v>
      </c>
      <c r="H52" s="7">
        <v>0</v>
      </c>
      <c r="I52" s="4">
        <v>2</v>
      </c>
      <c r="J52" s="4">
        <v>0</v>
      </c>
      <c r="K52" s="6">
        <v>0</v>
      </c>
      <c r="M52" s="18">
        <f t="shared" si="0"/>
        <v>1</v>
      </c>
      <c r="N52" s="23">
        <v>0</v>
      </c>
      <c r="O52" s="18">
        <f t="shared" si="1"/>
        <v>0</v>
      </c>
      <c r="P52" s="18">
        <f t="shared" si="1"/>
        <v>0</v>
      </c>
      <c r="Q52" s="18">
        <f t="shared" si="1"/>
        <v>0</v>
      </c>
      <c r="R52" s="10">
        <f t="shared" si="2"/>
        <v>1</v>
      </c>
      <c r="S52" s="10" t="str">
        <f t="shared" si="3"/>
        <v>★</v>
      </c>
    </row>
    <row r="53" spans="1:19" ht="20" thickBot="1" x14ac:dyDescent="0.3">
      <c r="A53" s="4" t="s">
        <v>498</v>
      </c>
      <c r="B53" s="4" t="s">
        <v>29</v>
      </c>
      <c r="C53" s="4" t="s">
        <v>476</v>
      </c>
      <c r="D53" s="4" t="s">
        <v>58</v>
      </c>
      <c r="E53" s="4">
        <v>19</v>
      </c>
      <c r="F53" s="4">
        <v>747.00000000000011</v>
      </c>
      <c r="G53" s="4">
        <v>22</v>
      </c>
      <c r="H53" s="5">
        <v>0.40899999999999997</v>
      </c>
      <c r="I53" s="4">
        <v>22</v>
      </c>
      <c r="J53" s="4">
        <v>6</v>
      </c>
      <c r="K53" s="6">
        <v>4</v>
      </c>
      <c r="M53" s="18">
        <f t="shared" si="0"/>
        <v>1</v>
      </c>
      <c r="N53" s="23">
        <v>0</v>
      </c>
      <c r="O53" s="18">
        <f t="shared" si="1"/>
        <v>0</v>
      </c>
      <c r="P53" s="18">
        <f t="shared" si="1"/>
        <v>1</v>
      </c>
      <c r="Q53" s="18">
        <f t="shared" si="1"/>
        <v>0.5</v>
      </c>
      <c r="R53" s="10">
        <f t="shared" si="2"/>
        <v>2.5</v>
      </c>
      <c r="S53" s="10" t="str">
        <f t="shared" si="3"/>
        <v>★★½</v>
      </c>
    </row>
    <row r="54" spans="1:19" ht="20" thickBot="1" x14ac:dyDescent="0.3">
      <c r="A54" s="4" t="s">
        <v>499</v>
      </c>
      <c r="B54" s="4" t="s">
        <v>60</v>
      </c>
      <c r="C54" s="4" t="s">
        <v>476</v>
      </c>
      <c r="D54" s="4" t="s">
        <v>69</v>
      </c>
      <c r="E54" s="4">
        <v>26</v>
      </c>
      <c r="F54" s="4">
        <v>387</v>
      </c>
      <c r="G54" s="4">
        <v>7</v>
      </c>
      <c r="H54" s="5">
        <v>0.28599999999999998</v>
      </c>
      <c r="I54" s="4">
        <v>11</v>
      </c>
      <c r="J54" s="4">
        <v>2</v>
      </c>
      <c r="K54" s="6">
        <v>2</v>
      </c>
      <c r="M54" s="18">
        <f t="shared" si="0"/>
        <v>1</v>
      </c>
      <c r="N54" s="23">
        <v>0</v>
      </c>
      <c r="O54" s="18">
        <f t="shared" si="1"/>
        <v>0</v>
      </c>
      <c r="P54" s="18">
        <f t="shared" si="1"/>
        <v>0</v>
      </c>
      <c r="Q54" s="18">
        <f t="shared" si="1"/>
        <v>0</v>
      </c>
      <c r="R54" s="10">
        <f t="shared" si="2"/>
        <v>1</v>
      </c>
      <c r="S54" s="10" t="str">
        <f t="shared" si="3"/>
        <v>★</v>
      </c>
    </row>
    <row r="55" spans="1:19" ht="20" thickBot="1" x14ac:dyDescent="0.3">
      <c r="A55" s="4" t="s">
        <v>499</v>
      </c>
      <c r="B55" s="4" t="s">
        <v>60</v>
      </c>
      <c r="C55" s="4" t="s">
        <v>584</v>
      </c>
      <c r="D55" s="4" t="s">
        <v>27</v>
      </c>
      <c r="E55" s="4">
        <v>26</v>
      </c>
      <c r="F55" s="4">
        <v>9</v>
      </c>
      <c r="G55" s="4">
        <v>0</v>
      </c>
      <c r="H55" s="11" t="s">
        <v>129</v>
      </c>
      <c r="I55" s="4">
        <v>0</v>
      </c>
      <c r="J55" s="4">
        <v>0</v>
      </c>
      <c r="K55" s="6">
        <v>0</v>
      </c>
      <c r="M55" s="18">
        <f t="shared" si="0"/>
        <v>0</v>
      </c>
      <c r="N55" s="23">
        <v>0</v>
      </c>
      <c r="O55" s="18">
        <f t="shared" si="1"/>
        <v>0</v>
      </c>
      <c r="P55" s="18">
        <f t="shared" si="1"/>
        <v>0</v>
      </c>
      <c r="Q55" s="18">
        <f t="shared" si="1"/>
        <v>0</v>
      </c>
      <c r="R55" s="10">
        <f t="shared" si="2"/>
        <v>0</v>
      </c>
      <c r="S55" s="10" t="str">
        <f t="shared" si="3"/>
        <v>☆</v>
      </c>
    </row>
    <row r="56" spans="1:19" ht="20" thickBot="1" x14ac:dyDescent="0.3">
      <c r="A56" s="4" t="s">
        <v>500</v>
      </c>
      <c r="B56" s="4" t="s">
        <v>29</v>
      </c>
      <c r="C56" s="4" t="s">
        <v>476</v>
      </c>
      <c r="D56" s="4" t="s">
        <v>81</v>
      </c>
      <c r="E56" s="4">
        <v>21</v>
      </c>
      <c r="F56" s="4">
        <v>9</v>
      </c>
      <c r="G56" s="4">
        <v>2</v>
      </c>
      <c r="H56" s="7">
        <v>0</v>
      </c>
      <c r="I56" s="4">
        <v>0</v>
      </c>
      <c r="J56" s="4">
        <v>0</v>
      </c>
      <c r="K56" s="6">
        <v>0</v>
      </c>
      <c r="M56" s="18">
        <f t="shared" si="0"/>
        <v>0</v>
      </c>
      <c r="N56" s="23">
        <v>0</v>
      </c>
      <c r="O56" s="18">
        <f t="shared" si="1"/>
        <v>0</v>
      </c>
      <c r="P56" s="18">
        <f t="shared" si="1"/>
        <v>0</v>
      </c>
      <c r="Q56" s="18">
        <f t="shared" si="1"/>
        <v>0</v>
      </c>
      <c r="R56" s="10">
        <f t="shared" si="2"/>
        <v>0</v>
      </c>
      <c r="S56" s="10" t="str">
        <f t="shared" si="3"/>
        <v>☆</v>
      </c>
    </row>
    <row r="57" spans="1:19" ht="20" thickBot="1" x14ac:dyDescent="0.3">
      <c r="A57" s="4" t="s">
        <v>501</v>
      </c>
      <c r="B57" s="4" t="s">
        <v>29</v>
      </c>
      <c r="C57" s="4" t="s">
        <v>471</v>
      </c>
      <c r="D57" s="4" t="s">
        <v>27</v>
      </c>
      <c r="E57" s="4">
        <v>20</v>
      </c>
      <c r="F57" s="4">
        <v>2286</v>
      </c>
      <c r="G57" s="4">
        <v>44</v>
      </c>
      <c r="H57" s="5">
        <v>0.432</v>
      </c>
      <c r="I57" s="4">
        <v>73</v>
      </c>
      <c r="J57" s="4">
        <v>5</v>
      </c>
      <c r="K57" s="6">
        <v>6</v>
      </c>
      <c r="M57" s="18">
        <f t="shared" si="0"/>
        <v>1</v>
      </c>
      <c r="N57" s="23">
        <v>1</v>
      </c>
      <c r="O57" s="18">
        <f t="shared" si="1"/>
        <v>1</v>
      </c>
      <c r="P57" s="18">
        <f t="shared" si="1"/>
        <v>1</v>
      </c>
      <c r="Q57" s="18">
        <f t="shared" si="1"/>
        <v>1</v>
      </c>
      <c r="R57" s="10">
        <f t="shared" si="2"/>
        <v>5</v>
      </c>
      <c r="S57" s="10" t="str">
        <f t="shared" si="3"/>
        <v>★★★★★</v>
      </c>
    </row>
    <row r="58" spans="1:19" ht="20" thickBot="1" x14ac:dyDescent="0.3">
      <c r="A58" s="4" t="s">
        <v>613</v>
      </c>
      <c r="B58" s="4" t="s">
        <v>29</v>
      </c>
      <c r="C58" s="4" t="s">
        <v>584</v>
      </c>
      <c r="D58" s="4" t="s">
        <v>15</v>
      </c>
      <c r="E58" s="4">
        <v>16</v>
      </c>
      <c r="F58" s="4">
        <v>9</v>
      </c>
      <c r="G58" s="4">
        <v>1</v>
      </c>
      <c r="H58" s="7">
        <v>1</v>
      </c>
      <c r="I58" s="4">
        <v>0</v>
      </c>
      <c r="J58" s="4">
        <v>0</v>
      </c>
      <c r="K58" s="6">
        <v>0</v>
      </c>
      <c r="M58" s="18">
        <f t="shared" si="0"/>
        <v>0</v>
      </c>
      <c r="N58" s="23">
        <v>0</v>
      </c>
      <c r="O58" s="18">
        <f t="shared" si="1"/>
        <v>0</v>
      </c>
      <c r="P58" s="18">
        <f t="shared" si="1"/>
        <v>0</v>
      </c>
      <c r="Q58" s="18">
        <f t="shared" si="1"/>
        <v>0</v>
      </c>
      <c r="R58" s="10">
        <f t="shared" si="2"/>
        <v>0</v>
      </c>
      <c r="S58" s="10" t="str">
        <f t="shared" si="3"/>
        <v>☆</v>
      </c>
    </row>
    <row r="59" spans="1:19" ht="20" thickBot="1" x14ac:dyDescent="0.3">
      <c r="A59" s="4" t="s">
        <v>502</v>
      </c>
      <c r="B59" s="4" t="s">
        <v>29</v>
      </c>
      <c r="C59" s="4" t="s">
        <v>471</v>
      </c>
      <c r="D59" s="4" t="s">
        <v>27</v>
      </c>
      <c r="E59" s="4">
        <v>25</v>
      </c>
      <c r="F59" s="4">
        <v>2340</v>
      </c>
      <c r="G59" s="4">
        <v>65</v>
      </c>
      <c r="H59" s="5">
        <v>0.23100000000000001</v>
      </c>
      <c r="I59" s="4">
        <v>83</v>
      </c>
      <c r="J59" s="4">
        <v>6</v>
      </c>
      <c r="K59" s="6">
        <v>9</v>
      </c>
      <c r="M59" s="18">
        <f t="shared" si="0"/>
        <v>1</v>
      </c>
      <c r="N59" s="23">
        <v>0</v>
      </c>
      <c r="O59" s="18">
        <f t="shared" si="1"/>
        <v>1</v>
      </c>
      <c r="P59" s="18">
        <f t="shared" si="1"/>
        <v>1</v>
      </c>
      <c r="Q59" s="18">
        <f t="shared" si="1"/>
        <v>1</v>
      </c>
      <c r="R59" s="10">
        <f t="shared" si="2"/>
        <v>4</v>
      </c>
      <c r="S59" s="10" t="str">
        <f t="shared" si="3"/>
        <v>★★★★</v>
      </c>
    </row>
    <row r="60" spans="1:19" ht="20" thickBot="1" x14ac:dyDescent="0.3">
      <c r="A60" s="4" t="s">
        <v>614</v>
      </c>
      <c r="B60" s="4" t="s">
        <v>29</v>
      </c>
      <c r="C60" s="4" t="s">
        <v>584</v>
      </c>
      <c r="D60" s="4" t="s">
        <v>39</v>
      </c>
      <c r="E60" s="4">
        <v>25</v>
      </c>
      <c r="F60" s="4">
        <v>1917</v>
      </c>
      <c r="G60" s="4">
        <v>45</v>
      </c>
      <c r="H60" s="5">
        <v>0.35599999999999998</v>
      </c>
      <c r="I60" s="4">
        <v>110</v>
      </c>
      <c r="J60" s="4">
        <v>7</v>
      </c>
      <c r="K60" s="6">
        <v>6</v>
      </c>
      <c r="M60" s="18">
        <f t="shared" si="0"/>
        <v>1</v>
      </c>
      <c r="N60" s="23">
        <v>1</v>
      </c>
      <c r="O60" s="18">
        <f t="shared" si="1"/>
        <v>1</v>
      </c>
      <c r="P60" s="18">
        <f t="shared" si="1"/>
        <v>1</v>
      </c>
      <c r="Q60" s="18">
        <f t="shared" si="1"/>
        <v>1</v>
      </c>
      <c r="R60" s="10">
        <f t="shared" si="2"/>
        <v>5</v>
      </c>
      <c r="S60" s="10" t="str">
        <f t="shared" si="3"/>
        <v>★★★★★</v>
      </c>
    </row>
    <row r="61" spans="1:19" ht="20" thickBot="1" x14ac:dyDescent="0.3">
      <c r="A61" s="4" t="s">
        <v>503</v>
      </c>
      <c r="B61" s="4" t="s">
        <v>29</v>
      </c>
      <c r="C61" s="4" t="s">
        <v>476</v>
      </c>
      <c r="D61" s="4" t="s">
        <v>47</v>
      </c>
      <c r="E61" s="4">
        <v>19</v>
      </c>
      <c r="F61" s="4">
        <v>1269</v>
      </c>
      <c r="G61" s="4">
        <v>48</v>
      </c>
      <c r="H61" s="5">
        <v>0.375</v>
      </c>
      <c r="I61" s="4">
        <v>44</v>
      </c>
      <c r="J61" s="4">
        <v>7</v>
      </c>
      <c r="K61" s="6">
        <v>6</v>
      </c>
      <c r="M61" s="18">
        <f t="shared" si="0"/>
        <v>1</v>
      </c>
      <c r="N61" s="23">
        <v>1</v>
      </c>
      <c r="O61" s="18">
        <f t="shared" si="1"/>
        <v>1</v>
      </c>
      <c r="P61" s="18">
        <f t="shared" si="1"/>
        <v>1</v>
      </c>
      <c r="Q61" s="18">
        <f t="shared" si="1"/>
        <v>1</v>
      </c>
      <c r="R61" s="10">
        <f t="shared" si="2"/>
        <v>5</v>
      </c>
      <c r="S61" s="10" t="str">
        <f t="shared" si="3"/>
        <v>★★★★★</v>
      </c>
    </row>
    <row r="62" spans="1:19" ht="20" thickBot="1" x14ac:dyDescent="0.3">
      <c r="A62" s="4" t="s">
        <v>504</v>
      </c>
      <c r="B62" s="4" t="s">
        <v>29</v>
      </c>
      <c r="C62" s="4" t="s">
        <v>471</v>
      </c>
      <c r="D62" s="4" t="s">
        <v>58</v>
      </c>
      <c r="E62" s="4">
        <v>19</v>
      </c>
      <c r="F62" s="4">
        <v>234</v>
      </c>
      <c r="G62" s="4">
        <v>4</v>
      </c>
      <c r="H62" s="7">
        <v>0</v>
      </c>
      <c r="I62" s="4">
        <v>6</v>
      </c>
      <c r="J62" s="4">
        <v>2</v>
      </c>
      <c r="K62" s="6">
        <v>2</v>
      </c>
      <c r="M62" s="18">
        <f t="shared" si="0"/>
        <v>1</v>
      </c>
      <c r="N62" s="23">
        <v>0</v>
      </c>
      <c r="O62" s="18">
        <f t="shared" si="1"/>
        <v>0</v>
      </c>
      <c r="P62" s="18">
        <f t="shared" si="1"/>
        <v>0</v>
      </c>
      <c r="Q62" s="18">
        <f t="shared" si="1"/>
        <v>0</v>
      </c>
      <c r="R62" s="10">
        <f t="shared" si="2"/>
        <v>1</v>
      </c>
      <c r="S62" s="10" t="str">
        <f t="shared" si="3"/>
        <v>★</v>
      </c>
    </row>
    <row r="63" spans="1:19" ht="20" thickBot="1" x14ac:dyDescent="0.3">
      <c r="A63" s="4" t="s">
        <v>505</v>
      </c>
      <c r="B63" s="4" t="s">
        <v>29</v>
      </c>
      <c r="C63" s="4" t="s">
        <v>476</v>
      </c>
      <c r="D63" s="4" t="s">
        <v>58</v>
      </c>
      <c r="E63" s="4">
        <v>24</v>
      </c>
      <c r="F63" s="4">
        <v>2637</v>
      </c>
      <c r="G63" s="4">
        <v>44</v>
      </c>
      <c r="H63" s="5">
        <v>0.38600000000000001</v>
      </c>
      <c r="I63" s="4">
        <v>79</v>
      </c>
      <c r="J63" s="4">
        <v>3</v>
      </c>
      <c r="K63" s="6">
        <v>9</v>
      </c>
      <c r="M63" s="18">
        <f t="shared" si="0"/>
        <v>1</v>
      </c>
      <c r="N63" s="23">
        <v>1</v>
      </c>
      <c r="O63" s="18">
        <f t="shared" si="1"/>
        <v>1</v>
      </c>
      <c r="P63" s="18">
        <f t="shared" si="1"/>
        <v>0.5</v>
      </c>
      <c r="Q63" s="18">
        <f t="shared" si="1"/>
        <v>1</v>
      </c>
      <c r="R63" s="10">
        <f t="shared" si="2"/>
        <v>4.5</v>
      </c>
      <c r="S63" s="10" t="str">
        <f t="shared" si="3"/>
        <v>★★★★½</v>
      </c>
    </row>
    <row r="64" spans="1:19" ht="20" thickBot="1" x14ac:dyDescent="0.3">
      <c r="A64" s="4" t="s">
        <v>506</v>
      </c>
      <c r="B64" s="4" t="s">
        <v>62</v>
      </c>
      <c r="C64" s="4" t="s">
        <v>476</v>
      </c>
      <c r="D64" s="4" t="s">
        <v>21</v>
      </c>
      <c r="E64" s="4">
        <v>22</v>
      </c>
      <c r="F64" s="4">
        <v>1809.0000000000002</v>
      </c>
      <c r="G64" s="4">
        <v>56</v>
      </c>
      <c r="H64" s="5">
        <v>0.41099999999999998</v>
      </c>
      <c r="I64" s="4">
        <v>53</v>
      </c>
      <c r="J64" s="4">
        <v>7</v>
      </c>
      <c r="K64" s="6">
        <v>11</v>
      </c>
      <c r="M64" s="18">
        <f t="shared" si="0"/>
        <v>1</v>
      </c>
      <c r="N64" s="23">
        <v>1</v>
      </c>
      <c r="O64" s="18">
        <f t="shared" si="1"/>
        <v>1</v>
      </c>
      <c r="P64" s="18">
        <f t="shared" si="1"/>
        <v>1</v>
      </c>
      <c r="Q64" s="18">
        <f t="shared" si="1"/>
        <v>1</v>
      </c>
      <c r="R64" s="10">
        <f t="shared" si="2"/>
        <v>5</v>
      </c>
      <c r="S64" s="10" t="str">
        <f t="shared" si="3"/>
        <v>★★★★★</v>
      </c>
    </row>
    <row r="65" spans="1:19" ht="20" thickBot="1" x14ac:dyDescent="0.3">
      <c r="A65" s="4" t="s">
        <v>507</v>
      </c>
      <c r="B65" s="4" t="s">
        <v>508</v>
      </c>
      <c r="C65" s="4" t="s">
        <v>476</v>
      </c>
      <c r="D65" s="4" t="s">
        <v>81</v>
      </c>
      <c r="E65" s="4">
        <v>25</v>
      </c>
      <c r="F65" s="4">
        <v>1818</v>
      </c>
      <c r="G65" s="4">
        <v>29</v>
      </c>
      <c r="H65" s="5">
        <v>0.41399999999999998</v>
      </c>
      <c r="I65" s="4">
        <v>34</v>
      </c>
      <c r="J65" s="4">
        <v>3</v>
      </c>
      <c r="K65" s="6">
        <v>6</v>
      </c>
      <c r="M65" s="18">
        <f t="shared" si="0"/>
        <v>1</v>
      </c>
      <c r="N65" s="23">
        <v>1</v>
      </c>
      <c r="O65" s="18">
        <f t="shared" si="1"/>
        <v>0.5</v>
      </c>
      <c r="P65" s="18">
        <f t="shared" si="1"/>
        <v>0.5</v>
      </c>
      <c r="Q65" s="18">
        <f t="shared" si="1"/>
        <v>1</v>
      </c>
      <c r="R65" s="10">
        <f t="shared" si="2"/>
        <v>4</v>
      </c>
      <c r="S65" s="10" t="str">
        <f t="shared" si="3"/>
        <v>★★★★</v>
      </c>
    </row>
    <row r="66" spans="1:19" ht="20" thickBot="1" x14ac:dyDescent="0.3">
      <c r="A66" s="4" t="s">
        <v>509</v>
      </c>
      <c r="B66" s="4" t="s">
        <v>508</v>
      </c>
      <c r="C66" s="4" t="s">
        <v>476</v>
      </c>
      <c r="D66" s="4" t="s">
        <v>65</v>
      </c>
      <c r="E66" s="4">
        <v>29</v>
      </c>
      <c r="F66" s="4">
        <v>3006</v>
      </c>
      <c r="G66" s="4">
        <v>86</v>
      </c>
      <c r="H66" s="5">
        <v>0.54700000000000004</v>
      </c>
      <c r="I66" s="4">
        <v>129</v>
      </c>
      <c r="J66" s="4">
        <v>15</v>
      </c>
      <c r="K66" s="6">
        <v>30</v>
      </c>
      <c r="M66" s="18">
        <f t="shared" si="0"/>
        <v>1</v>
      </c>
      <c r="N66" s="23">
        <v>1</v>
      </c>
      <c r="O66" s="18">
        <f t="shared" si="1"/>
        <v>1</v>
      </c>
      <c r="P66" s="18">
        <f t="shared" si="1"/>
        <v>1</v>
      </c>
      <c r="Q66" s="18">
        <f t="shared" si="1"/>
        <v>1</v>
      </c>
      <c r="R66" s="10">
        <f t="shared" si="2"/>
        <v>5</v>
      </c>
      <c r="S66" s="10" t="str">
        <f t="shared" si="3"/>
        <v>★★★★★</v>
      </c>
    </row>
    <row r="67" spans="1:19" ht="20" thickBot="1" x14ac:dyDescent="0.3">
      <c r="A67" s="4" t="s">
        <v>510</v>
      </c>
      <c r="B67" s="4" t="s">
        <v>29</v>
      </c>
      <c r="C67" s="4" t="s">
        <v>476</v>
      </c>
      <c r="D67" s="4" t="s">
        <v>21</v>
      </c>
      <c r="E67" s="4">
        <v>20</v>
      </c>
      <c r="F67" s="4">
        <v>962.99999999999989</v>
      </c>
      <c r="G67" s="4">
        <v>17</v>
      </c>
      <c r="H67" s="5">
        <v>0.41199999999999998</v>
      </c>
      <c r="I67" s="4">
        <v>51</v>
      </c>
      <c r="J67" s="4">
        <v>6</v>
      </c>
      <c r="K67" s="6">
        <v>3</v>
      </c>
      <c r="M67" s="18">
        <f t="shared" ref="M67:M130" si="4">IFERROR(_xlfn.IFS(F67&gt;=G$190,1,F67&gt;=G$189,0.5),0)</f>
        <v>1</v>
      </c>
      <c r="N67" s="23">
        <v>0</v>
      </c>
      <c r="O67" s="18">
        <f t="shared" ref="O67:Q130" si="5">IFERROR(_xlfn.IFS(I67&gt;=I$190,1,I67&gt;=I$189,0.5),0)</f>
        <v>1</v>
      </c>
      <c r="P67" s="18">
        <f t="shared" si="5"/>
        <v>1</v>
      </c>
      <c r="Q67" s="18">
        <f t="shared" si="5"/>
        <v>0</v>
      </c>
      <c r="R67" s="10">
        <f t="shared" ref="R67:R130" si="6">SUM(M67:Q67)</f>
        <v>3</v>
      </c>
      <c r="S67" s="10" t="str">
        <f t="shared" ref="S67:S130" si="7">_xlfn.IFS(R67=0,"☆",R67=0.5,"½", R67=1,"★",R67 =1.5,"★½", R67 =2.5,"★★½", R67=2,"★★", R67=3,"★★★", R67 =3.5,"★★★½",R67=4,"★★★★", R67 =4.5,"★★★★½", R67=5,"★★★★★")</f>
        <v>★★★</v>
      </c>
    </row>
    <row r="68" spans="1:19" ht="20" thickBot="1" x14ac:dyDescent="0.3">
      <c r="A68" s="4" t="s">
        <v>511</v>
      </c>
      <c r="B68" s="4" t="s">
        <v>55</v>
      </c>
      <c r="C68" s="4" t="s">
        <v>476</v>
      </c>
      <c r="D68" s="4" t="s">
        <v>50</v>
      </c>
      <c r="E68" s="4">
        <v>20</v>
      </c>
      <c r="F68" s="4">
        <v>621</v>
      </c>
      <c r="G68" s="4">
        <v>14</v>
      </c>
      <c r="H68" s="5">
        <v>0.28599999999999998</v>
      </c>
      <c r="I68" s="4">
        <v>12</v>
      </c>
      <c r="J68" s="4">
        <v>1</v>
      </c>
      <c r="K68" s="6">
        <v>2</v>
      </c>
      <c r="M68" s="18">
        <f t="shared" si="4"/>
        <v>1</v>
      </c>
      <c r="N68" s="23">
        <v>0</v>
      </c>
      <c r="O68" s="18">
        <f t="shared" si="5"/>
        <v>0</v>
      </c>
      <c r="P68" s="18">
        <f t="shared" si="5"/>
        <v>0</v>
      </c>
      <c r="Q68" s="18">
        <f t="shared" si="5"/>
        <v>0</v>
      </c>
      <c r="R68" s="10">
        <f t="shared" si="6"/>
        <v>1</v>
      </c>
      <c r="S68" s="10" t="str">
        <f t="shared" si="7"/>
        <v>★</v>
      </c>
    </row>
    <row r="69" spans="1:19" ht="20" thickBot="1" x14ac:dyDescent="0.3">
      <c r="A69" s="4" t="s">
        <v>615</v>
      </c>
      <c r="B69" s="4" t="s">
        <v>219</v>
      </c>
      <c r="C69" s="4" t="s">
        <v>584</v>
      </c>
      <c r="D69" s="4" t="s">
        <v>87</v>
      </c>
      <c r="E69" s="4">
        <v>24</v>
      </c>
      <c r="F69" s="4">
        <v>1260</v>
      </c>
      <c r="G69" s="4">
        <v>31</v>
      </c>
      <c r="H69" s="5">
        <v>0.35499999999999998</v>
      </c>
      <c r="I69" s="4">
        <v>36</v>
      </c>
      <c r="J69" s="4">
        <v>8</v>
      </c>
      <c r="K69" s="6">
        <v>9</v>
      </c>
      <c r="M69" s="18">
        <f t="shared" si="4"/>
        <v>1</v>
      </c>
      <c r="N69" s="23">
        <v>1</v>
      </c>
      <c r="O69" s="18">
        <f t="shared" si="5"/>
        <v>0.5</v>
      </c>
      <c r="P69" s="18">
        <f t="shared" si="5"/>
        <v>1</v>
      </c>
      <c r="Q69" s="18">
        <f t="shared" si="5"/>
        <v>1</v>
      </c>
      <c r="R69" s="10">
        <f t="shared" si="6"/>
        <v>4.5</v>
      </c>
      <c r="S69" s="10" t="str">
        <f t="shared" si="7"/>
        <v>★★★★½</v>
      </c>
    </row>
    <row r="70" spans="1:19" ht="20" thickBot="1" x14ac:dyDescent="0.3">
      <c r="A70" s="4" t="s">
        <v>616</v>
      </c>
      <c r="B70" s="4" t="s">
        <v>29</v>
      </c>
      <c r="C70" s="4" t="s">
        <v>584</v>
      </c>
      <c r="D70" s="4" t="s">
        <v>69</v>
      </c>
      <c r="E70" s="4">
        <v>29</v>
      </c>
      <c r="F70" s="4">
        <v>1899.0000000000002</v>
      </c>
      <c r="G70" s="4">
        <v>48</v>
      </c>
      <c r="H70" s="5">
        <v>0.35399999999999998</v>
      </c>
      <c r="I70" s="4">
        <v>31</v>
      </c>
      <c r="J70" s="4">
        <v>8</v>
      </c>
      <c r="K70" s="6">
        <v>13</v>
      </c>
      <c r="M70" s="18">
        <f t="shared" si="4"/>
        <v>1</v>
      </c>
      <c r="N70" s="23">
        <v>1</v>
      </c>
      <c r="O70" s="18">
        <f t="shared" si="5"/>
        <v>0.5</v>
      </c>
      <c r="P70" s="18">
        <f t="shared" si="5"/>
        <v>1</v>
      </c>
      <c r="Q70" s="18">
        <f t="shared" si="5"/>
        <v>1</v>
      </c>
      <c r="R70" s="10">
        <f t="shared" si="6"/>
        <v>4.5</v>
      </c>
      <c r="S70" s="10" t="str">
        <f t="shared" si="7"/>
        <v>★★★★½</v>
      </c>
    </row>
    <row r="71" spans="1:19" ht="20" thickBot="1" x14ac:dyDescent="0.3">
      <c r="A71" s="4" t="s">
        <v>512</v>
      </c>
      <c r="B71" s="4" t="s">
        <v>52</v>
      </c>
      <c r="C71" s="4" t="s">
        <v>476</v>
      </c>
      <c r="D71" s="4" t="s">
        <v>58</v>
      </c>
      <c r="E71" s="4">
        <v>23</v>
      </c>
      <c r="F71" s="4">
        <v>2367</v>
      </c>
      <c r="G71" s="4">
        <v>52</v>
      </c>
      <c r="H71" s="5">
        <v>0.28799999999999998</v>
      </c>
      <c r="I71" s="4">
        <v>53</v>
      </c>
      <c r="J71" s="4">
        <v>5</v>
      </c>
      <c r="K71" s="6">
        <v>8</v>
      </c>
      <c r="M71" s="18">
        <f t="shared" si="4"/>
        <v>1</v>
      </c>
      <c r="N71" s="23">
        <v>0</v>
      </c>
      <c r="O71" s="18">
        <f t="shared" si="5"/>
        <v>1</v>
      </c>
      <c r="P71" s="18">
        <f t="shared" si="5"/>
        <v>1</v>
      </c>
      <c r="Q71" s="18">
        <f t="shared" si="5"/>
        <v>1</v>
      </c>
      <c r="R71" s="10">
        <f t="shared" si="6"/>
        <v>4</v>
      </c>
      <c r="S71" s="10" t="str">
        <f t="shared" si="7"/>
        <v>★★★★</v>
      </c>
    </row>
    <row r="72" spans="1:19" ht="20" thickBot="1" x14ac:dyDescent="0.3">
      <c r="A72" s="4" t="s">
        <v>512</v>
      </c>
      <c r="B72" s="4" t="s">
        <v>52</v>
      </c>
      <c r="C72" s="4" t="s">
        <v>584</v>
      </c>
      <c r="D72" s="4" t="s">
        <v>47</v>
      </c>
      <c r="E72" s="4">
        <v>23</v>
      </c>
      <c r="F72" s="4">
        <v>125.99999999999999</v>
      </c>
      <c r="G72" s="4">
        <v>4</v>
      </c>
      <c r="H72" s="7">
        <v>0.25</v>
      </c>
      <c r="I72" s="4">
        <v>3</v>
      </c>
      <c r="J72" s="4">
        <v>0</v>
      </c>
      <c r="K72" s="6">
        <v>0</v>
      </c>
      <c r="M72" s="18">
        <f t="shared" si="4"/>
        <v>1</v>
      </c>
      <c r="N72" s="23">
        <v>0</v>
      </c>
      <c r="O72" s="18">
        <f t="shared" si="5"/>
        <v>0</v>
      </c>
      <c r="P72" s="18">
        <f t="shared" si="5"/>
        <v>0</v>
      </c>
      <c r="Q72" s="18">
        <f t="shared" si="5"/>
        <v>0</v>
      </c>
      <c r="R72" s="10">
        <f t="shared" si="6"/>
        <v>1</v>
      </c>
      <c r="S72" s="10" t="str">
        <f t="shared" si="7"/>
        <v>★</v>
      </c>
    </row>
    <row r="73" spans="1:19" ht="20" thickBot="1" x14ac:dyDescent="0.3">
      <c r="A73" s="4" t="s">
        <v>617</v>
      </c>
      <c r="B73" s="4" t="s">
        <v>14</v>
      </c>
      <c r="C73" s="4" t="s">
        <v>584</v>
      </c>
      <c r="D73" s="4" t="s">
        <v>39</v>
      </c>
      <c r="E73" s="4">
        <v>24</v>
      </c>
      <c r="F73" s="4">
        <v>1880.9999999999998</v>
      </c>
      <c r="G73" s="4">
        <v>63</v>
      </c>
      <c r="H73" s="5">
        <v>0.33300000000000002</v>
      </c>
      <c r="I73" s="4">
        <v>78</v>
      </c>
      <c r="J73" s="4">
        <v>18</v>
      </c>
      <c r="K73" s="6">
        <v>16</v>
      </c>
      <c r="M73" s="18">
        <f t="shared" si="4"/>
        <v>1</v>
      </c>
      <c r="N73" s="23">
        <v>0</v>
      </c>
      <c r="O73" s="18">
        <f t="shared" si="5"/>
        <v>1</v>
      </c>
      <c r="P73" s="18">
        <f t="shared" si="5"/>
        <v>1</v>
      </c>
      <c r="Q73" s="18">
        <f t="shared" si="5"/>
        <v>1</v>
      </c>
      <c r="R73" s="10">
        <f t="shared" si="6"/>
        <v>4</v>
      </c>
      <c r="S73" s="10" t="str">
        <f t="shared" si="7"/>
        <v>★★★★</v>
      </c>
    </row>
    <row r="74" spans="1:19" ht="20" thickBot="1" x14ac:dyDescent="0.3">
      <c r="A74" s="4" t="s">
        <v>618</v>
      </c>
      <c r="B74" s="4" t="s">
        <v>619</v>
      </c>
      <c r="C74" s="4" t="s">
        <v>584</v>
      </c>
      <c r="D74" s="4" t="s">
        <v>81</v>
      </c>
      <c r="E74" s="4">
        <v>30</v>
      </c>
      <c r="F74" s="4">
        <v>2628</v>
      </c>
      <c r="G74" s="4">
        <v>57</v>
      </c>
      <c r="H74" s="5">
        <v>0.26300000000000001</v>
      </c>
      <c r="I74" s="4">
        <v>67</v>
      </c>
      <c r="J74" s="4">
        <v>15</v>
      </c>
      <c r="K74" s="6">
        <v>10</v>
      </c>
      <c r="M74" s="18">
        <f t="shared" si="4"/>
        <v>1</v>
      </c>
      <c r="N74" s="23">
        <v>0</v>
      </c>
      <c r="O74" s="18">
        <f t="shared" si="5"/>
        <v>1</v>
      </c>
      <c r="P74" s="18">
        <f t="shared" si="5"/>
        <v>1</v>
      </c>
      <c r="Q74" s="18">
        <f t="shared" si="5"/>
        <v>1</v>
      </c>
      <c r="R74" s="10">
        <f t="shared" si="6"/>
        <v>4</v>
      </c>
      <c r="S74" s="10" t="str">
        <f t="shared" si="7"/>
        <v>★★★★</v>
      </c>
    </row>
    <row r="75" spans="1:19" ht="20" thickBot="1" x14ac:dyDescent="0.3">
      <c r="A75" s="4" t="s">
        <v>513</v>
      </c>
      <c r="B75" s="4" t="s">
        <v>14</v>
      </c>
      <c r="C75" s="4" t="s">
        <v>476</v>
      </c>
      <c r="D75" s="4" t="s">
        <v>24</v>
      </c>
      <c r="E75" s="4">
        <v>19</v>
      </c>
      <c r="F75" s="4">
        <v>1647</v>
      </c>
      <c r="G75" s="4">
        <v>47</v>
      </c>
      <c r="H75" s="7">
        <v>0.34</v>
      </c>
      <c r="I75" s="4">
        <v>49</v>
      </c>
      <c r="J75" s="4">
        <v>4</v>
      </c>
      <c r="K75" s="6">
        <v>4</v>
      </c>
      <c r="M75" s="18">
        <f t="shared" si="4"/>
        <v>1</v>
      </c>
      <c r="N75" s="23">
        <v>0</v>
      </c>
      <c r="O75" s="18">
        <f t="shared" si="5"/>
        <v>1</v>
      </c>
      <c r="P75" s="18">
        <f t="shared" si="5"/>
        <v>0.5</v>
      </c>
      <c r="Q75" s="18">
        <f t="shared" si="5"/>
        <v>0.5</v>
      </c>
      <c r="R75" s="10">
        <f t="shared" si="6"/>
        <v>3</v>
      </c>
      <c r="S75" s="10" t="str">
        <f t="shared" si="7"/>
        <v>★★★</v>
      </c>
    </row>
    <row r="76" spans="1:19" ht="20" thickBot="1" x14ac:dyDescent="0.3">
      <c r="A76" s="4" t="s">
        <v>514</v>
      </c>
      <c r="B76" s="4" t="s">
        <v>14</v>
      </c>
      <c r="C76" s="4" t="s">
        <v>471</v>
      </c>
      <c r="D76" s="4" t="s">
        <v>35</v>
      </c>
      <c r="E76" s="4">
        <v>24</v>
      </c>
      <c r="F76" s="4">
        <v>2556</v>
      </c>
      <c r="G76" s="4">
        <v>46</v>
      </c>
      <c r="H76" s="5">
        <v>0.30399999999999999</v>
      </c>
      <c r="I76" s="4">
        <v>64</v>
      </c>
      <c r="J76" s="4">
        <v>6</v>
      </c>
      <c r="K76" s="6">
        <v>5</v>
      </c>
      <c r="M76" s="18">
        <f t="shared" si="4"/>
        <v>1</v>
      </c>
      <c r="N76" s="23">
        <v>0</v>
      </c>
      <c r="O76" s="18">
        <f t="shared" si="5"/>
        <v>1</v>
      </c>
      <c r="P76" s="18">
        <f t="shared" si="5"/>
        <v>1</v>
      </c>
      <c r="Q76" s="18">
        <f t="shared" si="5"/>
        <v>0.5</v>
      </c>
      <c r="R76" s="10">
        <f t="shared" si="6"/>
        <v>3.5</v>
      </c>
      <c r="S76" s="10" t="str">
        <f t="shared" si="7"/>
        <v>★★★½</v>
      </c>
    </row>
    <row r="77" spans="1:19" ht="20" thickBot="1" x14ac:dyDescent="0.3">
      <c r="A77" s="4" t="s">
        <v>620</v>
      </c>
      <c r="B77" s="4" t="s">
        <v>83</v>
      </c>
      <c r="C77" s="4" t="s">
        <v>584</v>
      </c>
      <c r="D77" s="4" t="s">
        <v>15</v>
      </c>
      <c r="E77" s="4">
        <v>24</v>
      </c>
      <c r="F77" s="4">
        <v>2367</v>
      </c>
      <c r="G77" s="4">
        <v>91</v>
      </c>
      <c r="H77" s="5">
        <v>0.36299999999999999</v>
      </c>
      <c r="I77" s="4">
        <v>87</v>
      </c>
      <c r="J77" s="4">
        <v>14</v>
      </c>
      <c r="K77" s="6">
        <v>19</v>
      </c>
      <c r="M77" s="18">
        <f t="shared" si="4"/>
        <v>1</v>
      </c>
      <c r="N77" s="23">
        <v>1</v>
      </c>
      <c r="O77" s="18">
        <f t="shared" si="5"/>
        <v>1</v>
      </c>
      <c r="P77" s="18">
        <f t="shared" si="5"/>
        <v>1</v>
      </c>
      <c r="Q77" s="18">
        <f t="shared" si="5"/>
        <v>1</v>
      </c>
      <c r="R77" s="10">
        <f t="shared" si="6"/>
        <v>5</v>
      </c>
      <c r="S77" s="10" t="str">
        <f t="shared" si="7"/>
        <v>★★★★★</v>
      </c>
    </row>
    <row r="78" spans="1:19" ht="20" thickBot="1" x14ac:dyDescent="0.3">
      <c r="A78" s="4" t="s">
        <v>621</v>
      </c>
      <c r="B78" s="4" t="s">
        <v>219</v>
      </c>
      <c r="C78" s="4" t="s">
        <v>584</v>
      </c>
      <c r="D78" s="4" t="s">
        <v>24</v>
      </c>
      <c r="E78" s="4">
        <v>23</v>
      </c>
      <c r="F78" s="4">
        <v>225</v>
      </c>
      <c r="G78" s="4">
        <v>4</v>
      </c>
      <c r="H78" s="7">
        <v>0.25</v>
      </c>
      <c r="I78" s="4">
        <v>6</v>
      </c>
      <c r="J78" s="4">
        <v>0</v>
      </c>
      <c r="K78" s="6">
        <v>0</v>
      </c>
      <c r="M78" s="18">
        <f t="shared" si="4"/>
        <v>1</v>
      </c>
      <c r="N78" s="23">
        <v>0</v>
      </c>
      <c r="O78" s="18">
        <f t="shared" si="5"/>
        <v>0</v>
      </c>
      <c r="P78" s="18">
        <f t="shared" si="5"/>
        <v>0</v>
      </c>
      <c r="Q78" s="18">
        <f t="shared" si="5"/>
        <v>0</v>
      </c>
      <c r="R78" s="10">
        <f t="shared" si="6"/>
        <v>1</v>
      </c>
      <c r="S78" s="10" t="str">
        <f t="shared" si="7"/>
        <v>★</v>
      </c>
    </row>
    <row r="79" spans="1:19" ht="20" thickBot="1" x14ac:dyDescent="0.3">
      <c r="A79" s="4" t="s">
        <v>622</v>
      </c>
      <c r="B79" s="4" t="s">
        <v>29</v>
      </c>
      <c r="C79" s="4" t="s">
        <v>584</v>
      </c>
      <c r="D79" s="4" t="s">
        <v>65</v>
      </c>
      <c r="E79" s="4">
        <v>28</v>
      </c>
      <c r="F79" s="4">
        <v>3231</v>
      </c>
      <c r="G79" s="4">
        <v>131</v>
      </c>
      <c r="H79" s="5">
        <v>0.38900000000000001</v>
      </c>
      <c r="I79" s="4">
        <v>117</v>
      </c>
      <c r="J79" s="4">
        <v>21</v>
      </c>
      <c r="K79" s="6">
        <v>26</v>
      </c>
      <c r="M79" s="18">
        <f t="shared" si="4"/>
        <v>1</v>
      </c>
      <c r="N79" s="23">
        <v>1</v>
      </c>
      <c r="O79" s="18">
        <f t="shared" si="5"/>
        <v>1</v>
      </c>
      <c r="P79" s="18">
        <f t="shared" si="5"/>
        <v>1</v>
      </c>
      <c r="Q79" s="18">
        <f t="shared" si="5"/>
        <v>1</v>
      </c>
      <c r="R79" s="10">
        <f t="shared" si="6"/>
        <v>5</v>
      </c>
      <c r="S79" s="10" t="str">
        <f t="shared" si="7"/>
        <v>★★★★★</v>
      </c>
    </row>
    <row r="80" spans="1:19" ht="20" thickBot="1" x14ac:dyDescent="0.3">
      <c r="A80" s="4" t="s">
        <v>623</v>
      </c>
      <c r="B80" s="4" t="s">
        <v>276</v>
      </c>
      <c r="C80" s="4" t="s">
        <v>584</v>
      </c>
      <c r="D80" s="4" t="s">
        <v>27</v>
      </c>
      <c r="E80" s="4">
        <v>21</v>
      </c>
      <c r="F80" s="4">
        <v>0</v>
      </c>
      <c r="G80" s="4">
        <v>0</v>
      </c>
      <c r="H80" s="11" t="s">
        <v>129</v>
      </c>
      <c r="I80" s="4">
        <v>0</v>
      </c>
      <c r="J80" s="4">
        <v>0</v>
      </c>
      <c r="K80" s="6">
        <v>0</v>
      </c>
      <c r="M80" s="18">
        <f t="shared" si="4"/>
        <v>0</v>
      </c>
      <c r="N80" s="23">
        <v>0</v>
      </c>
      <c r="O80" s="18">
        <f t="shared" si="5"/>
        <v>0</v>
      </c>
      <c r="P80" s="18">
        <f t="shared" si="5"/>
        <v>0</v>
      </c>
      <c r="Q80" s="18">
        <f t="shared" si="5"/>
        <v>0</v>
      </c>
      <c r="R80" s="10">
        <f t="shared" si="6"/>
        <v>0</v>
      </c>
      <c r="S80" s="10" t="str">
        <f t="shared" si="7"/>
        <v>☆</v>
      </c>
    </row>
    <row r="81" spans="1:19" ht="20" thickBot="1" x14ac:dyDescent="0.3">
      <c r="A81" s="4" t="s">
        <v>624</v>
      </c>
      <c r="B81" s="4" t="s">
        <v>57</v>
      </c>
      <c r="C81" s="4" t="s">
        <v>584</v>
      </c>
      <c r="D81" s="4" t="s">
        <v>24</v>
      </c>
      <c r="E81" s="4">
        <v>29</v>
      </c>
      <c r="F81" s="4">
        <v>2250</v>
      </c>
      <c r="G81" s="4">
        <v>48</v>
      </c>
      <c r="H81" s="5">
        <v>0.375</v>
      </c>
      <c r="I81" s="4">
        <v>60</v>
      </c>
      <c r="J81" s="4">
        <v>7</v>
      </c>
      <c r="K81" s="6">
        <v>8</v>
      </c>
      <c r="M81" s="18">
        <f t="shared" si="4"/>
        <v>1</v>
      </c>
      <c r="N81" s="23">
        <v>1</v>
      </c>
      <c r="O81" s="18">
        <f t="shared" si="5"/>
        <v>1</v>
      </c>
      <c r="P81" s="18">
        <f t="shared" si="5"/>
        <v>1</v>
      </c>
      <c r="Q81" s="18">
        <f t="shared" si="5"/>
        <v>1</v>
      </c>
      <c r="R81" s="10">
        <f t="shared" si="6"/>
        <v>5</v>
      </c>
      <c r="S81" s="10" t="str">
        <f t="shared" si="7"/>
        <v>★★★★★</v>
      </c>
    </row>
    <row r="82" spans="1:19" ht="20" thickBot="1" x14ac:dyDescent="0.3">
      <c r="A82" s="4" t="s">
        <v>515</v>
      </c>
      <c r="B82" s="4" t="s">
        <v>75</v>
      </c>
      <c r="C82" s="4" t="s">
        <v>471</v>
      </c>
      <c r="D82" s="4" t="s">
        <v>65</v>
      </c>
      <c r="E82" s="4">
        <v>21</v>
      </c>
      <c r="F82" s="4">
        <v>1260</v>
      </c>
      <c r="G82" s="4">
        <v>26</v>
      </c>
      <c r="H82" s="5">
        <v>0.34599999999999997</v>
      </c>
      <c r="I82" s="4">
        <v>47</v>
      </c>
      <c r="J82" s="4">
        <v>14</v>
      </c>
      <c r="K82" s="6">
        <v>13</v>
      </c>
      <c r="M82" s="18">
        <f t="shared" si="4"/>
        <v>1</v>
      </c>
      <c r="N82" s="23">
        <v>1</v>
      </c>
      <c r="O82" s="18">
        <f t="shared" si="5"/>
        <v>1</v>
      </c>
      <c r="P82" s="18">
        <f t="shared" si="5"/>
        <v>1</v>
      </c>
      <c r="Q82" s="18">
        <f t="shared" si="5"/>
        <v>1</v>
      </c>
      <c r="R82" s="10">
        <f t="shared" si="6"/>
        <v>5</v>
      </c>
      <c r="S82" s="10" t="str">
        <f t="shared" si="7"/>
        <v>★★★★★</v>
      </c>
    </row>
    <row r="83" spans="1:19" ht="20" thickBot="1" x14ac:dyDescent="0.3">
      <c r="A83" s="4" t="s">
        <v>516</v>
      </c>
      <c r="B83" s="4" t="s">
        <v>17</v>
      </c>
      <c r="C83" s="4" t="s">
        <v>476</v>
      </c>
      <c r="D83" s="4" t="s">
        <v>63</v>
      </c>
      <c r="E83" s="4">
        <v>30</v>
      </c>
      <c r="F83" s="4">
        <v>1782</v>
      </c>
      <c r="G83" s="4">
        <v>43</v>
      </c>
      <c r="H83" s="5">
        <v>0.27900000000000003</v>
      </c>
      <c r="I83" s="4">
        <v>65</v>
      </c>
      <c r="J83" s="4">
        <v>9</v>
      </c>
      <c r="K83" s="6">
        <v>11</v>
      </c>
      <c r="M83" s="18">
        <f t="shared" si="4"/>
        <v>1</v>
      </c>
      <c r="N83" s="23">
        <v>0</v>
      </c>
      <c r="O83" s="18">
        <f t="shared" si="5"/>
        <v>1</v>
      </c>
      <c r="P83" s="18">
        <f t="shared" si="5"/>
        <v>1</v>
      </c>
      <c r="Q83" s="18">
        <f t="shared" si="5"/>
        <v>1</v>
      </c>
      <c r="R83" s="10">
        <f t="shared" si="6"/>
        <v>4</v>
      </c>
      <c r="S83" s="10" t="str">
        <f t="shared" si="7"/>
        <v>★★★★</v>
      </c>
    </row>
    <row r="84" spans="1:19" ht="20" thickBot="1" x14ac:dyDescent="0.3">
      <c r="A84" s="4" t="s">
        <v>303</v>
      </c>
      <c r="B84" s="4" t="s">
        <v>29</v>
      </c>
      <c r="C84" s="4" t="s">
        <v>304</v>
      </c>
      <c r="D84" s="4" t="s">
        <v>85</v>
      </c>
      <c r="E84" s="4">
        <v>20</v>
      </c>
      <c r="F84" s="4">
        <v>1557</v>
      </c>
      <c r="G84" s="4">
        <v>19</v>
      </c>
      <c r="H84" s="5">
        <v>0.21099999999999999</v>
      </c>
      <c r="I84" s="4">
        <v>47</v>
      </c>
      <c r="J84" s="4">
        <v>2</v>
      </c>
      <c r="K84" s="6">
        <v>2</v>
      </c>
      <c r="M84" s="18">
        <f t="shared" si="4"/>
        <v>1</v>
      </c>
      <c r="N84" s="23">
        <v>0</v>
      </c>
      <c r="O84" s="18">
        <f t="shared" si="5"/>
        <v>1</v>
      </c>
      <c r="P84" s="18">
        <f t="shared" si="5"/>
        <v>0</v>
      </c>
      <c r="Q84" s="18">
        <f t="shared" si="5"/>
        <v>0</v>
      </c>
      <c r="R84" s="10">
        <f t="shared" si="6"/>
        <v>2</v>
      </c>
      <c r="S84" s="10" t="str">
        <f t="shared" si="7"/>
        <v>★★</v>
      </c>
    </row>
    <row r="85" spans="1:19" ht="20" thickBot="1" x14ac:dyDescent="0.3">
      <c r="A85" s="4" t="s">
        <v>517</v>
      </c>
      <c r="B85" s="4" t="s">
        <v>32</v>
      </c>
      <c r="C85" s="4" t="s">
        <v>471</v>
      </c>
      <c r="D85" s="4" t="s">
        <v>18</v>
      </c>
      <c r="E85" s="4">
        <v>28</v>
      </c>
      <c r="F85" s="4">
        <v>1782</v>
      </c>
      <c r="G85" s="4">
        <v>13</v>
      </c>
      <c r="H85" s="5">
        <v>0.308</v>
      </c>
      <c r="I85" s="4">
        <v>55</v>
      </c>
      <c r="J85" s="4">
        <v>10</v>
      </c>
      <c r="K85" s="6">
        <v>8</v>
      </c>
      <c r="M85" s="18">
        <f t="shared" si="4"/>
        <v>1</v>
      </c>
      <c r="N85" s="23">
        <v>0</v>
      </c>
      <c r="O85" s="18">
        <f t="shared" si="5"/>
        <v>1</v>
      </c>
      <c r="P85" s="18">
        <f t="shared" si="5"/>
        <v>1</v>
      </c>
      <c r="Q85" s="18">
        <f t="shared" si="5"/>
        <v>1</v>
      </c>
      <c r="R85" s="10">
        <f t="shared" si="6"/>
        <v>4</v>
      </c>
      <c r="S85" s="10" t="str">
        <f t="shared" si="7"/>
        <v>★★★★</v>
      </c>
    </row>
    <row r="86" spans="1:19" ht="20" thickBot="1" x14ac:dyDescent="0.3">
      <c r="A86" s="4" t="s">
        <v>518</v>
      </c>
      <c r="B86" s="4" t="s">
        <v>29</v>
      </c>
      <c r="C86" s="4" t="s">
        <v>476</v>
      </c>
      <c r="D86" s="4" t="s">
        <v>47</v>
      </c>
      <c r="E86" s="4">
        <v>28</v>
      </c>
      <c r="F86" s="4">
        <v>368.99999999999994</v>
      </c>
      <c r="G86" s="4">
        <v>8</v>
      </c>
      <c r="H86" s="7">
        <v>0.75</v>
      </c>
      <c r="I86" s="4">
        <v>15</v>
      </c>
      <c r="J86" s="4">
        <v>1</v>
      </c>
      <c r="K86" s="6">
        <v>2</v>
      </c>
      <c r="M86" s="18">
        <f t="shared" si="4"/>
        <v>1</v>
      </c>
      <c r="N86" s="23">
        <v>0</v>
      </c>
      <c r="O86" s="18">
        <f t="shared" si="5"/>
        <v>0</v>
      </c>
      <c r="P86" s="18">
        <f t="shared" si="5"/>
        <v>0</v>
      </c>
      <c r="Q86" s="18">
        <f t="shared" si="5"/>
        <v>0</v>
      </c>
      <c r="R86" s="10">
        <f t="shared" si="6"/>
        <v>1</v>
      </c>
      <c r="S86" s="10" t="str">
        <f t="shared" si="7"/>
        <v>★</v>
      </c>
    </row>
    <row r="87" spans="1:19" ht="20" thickBot="1" x14ac:dyDescent="0.3">
      <c r="A87" s="4" t="s">
        <v>519</v>
      </c>
      <c r="B87" s="4" t="s">
        <v>32</v>
      </c>
      <c r="C87" s="4" t="s">
        <v>471</v>
      </c>
      <c r="D87" s="4" t="s">
        <v>65</v>
      </c>
      <c r="E87" s="4">
        <v>25</v>
      </c>
      <c r="F87" s="4">
        <v>234</v>
      </c>
      <c r="G87" s="4">
        <v>9</v>
      </c>
      <c r="H87" s="7">
        <v>0</v>
      </c>
      <c r="I87" s="4">
        <v>10</v>
      </c>
      <c r="J87" s="4">
        <v>0</v>
      </c>
      <c r="K87" s="6">
        <v>0</v>
      </c>
      <c r="M87" s="18">
        <f t="shared" si="4"/>
        <v>1</v>
      </c>
      <c r="N87" s="23">
        <v>0</v>
      </c>
      <c r="O87" s="18">
        <f t="shared" si="5"/>
        <v>0</v>
      </c>
      <c r="P87" s="18">
        <f t="shared" si="5"/>
        <v>0</v>
      </c>
      <c r="Q87" s="18">
        <f t="shared" si="5"/>
        <v>0</v>
      </c>
      <c r="R87" s="10">
        <f t="shared" si="6"/>
        <v>1</v>
      </c>
      <c r="S87" s="10" t="str">
        <f t="shared" si="7"/>
        <v>★</v>
      </c>
    </row>
    <row r="88" spans="1:19" ht="20" thickBot="1" x14ac:dyDescent="0.3">
      <c r="A88" s="4" t="s">
        <v>625</v>
      </c>
      <c r="B88" s="4" t="s">
        <v>60</v>
      </c>
      <c r="C88" s="4" t="s">
        <v>584</v>
      </c>
      <c r="D88" s="4" t="s">
        <v>85</v>
      </c>
      <c r="E88" s="4">
        <v>27</v>
      </c>
      <c r="F88" s="4">
        <v>27</v>
      </c>
      <c r="G88" s="4">
        <v>1</v>
      </c>
      <c r="H88" s="7">
        <v>0</v>
      </c>
      <c r="I88" s="4">
        <v>0</v>
      </c>
      <c r="J88" s="4">
        <v>0</v>
      </c>
      <c r="K88" s="6">
        <v>0</v>
      </c>
      <c r="M88" s="18">
        <f t="shared" si="4"/>
        <v>0.5</v>
      </c>
      <c r="N88" s="23">
        <v>0</v>
      </c>
      <c r="O88" s="18">
        <f t="shared" si="5"/>
        <v>0</v>
      </c>
      <c r="P88" s="18">
        <f t="shared" si="5"/>
        <v>0</v>
      </c>
      <c r="Q88" s="18">
        <f t="shared" si="5"/>
        <v>0</v>
      </c>
      <c r="R88" s="10">
        <f t="shared" si="6"/>
        <v>0.5</v>
      </c>
      <c r="S88" s="10" t="str">
        <f t="shared" si="7"/>
        <v>½</v>
      </c>
    </row>
    <row r="89" spans="1:19" ht="20" thickBot="1" x14ac:dyDescent="0.3">
      <c r="A89" s="4" t="s">
        <v>626</v>
      </c>
      <c r="B89" s="4" t="s">
        <v>55</v>
      </c>
      <c r="C89" s="4" t="s">
        <v>584</v>
      </c>
      <c r="D89" s="4" t="s">
        <v>33</v>
      </c>
      <c r="E89" s="4">
        <v>34</v>
      </c>
      <c r="F89" s="4">
        <v>306</v>
      </c>
      <c r="G89" s="4">
        <v>9</v>
      </c>
      <c r="H89" s="5">
        <v>0.55600000000000005</v>
      </c>
      <c r="I89" s="4">
        <v>5</v>
      </c>
      <c r="J89" s="4">
        <v>0</v>
      </c>
      <c r="K89" s="6">
        <v>1</v>
      </c>
      <c r="M89" s="18">
        <f t="shared" si="4"/>
        <v>1</v>
      </c>
      <c r="N89" s="23">
        <v>0</v>
      </c>
      <c r="O89" s="18">
        <f t="shared" si="5"/>
        <v>0</v>
      </c>
      <c r="P89" s="18">
        <f t="shared" si="5"/>
        <v>0</v>
      </c>
      <c r="Q89" s="18">
        <f t="shared" si="5"/>
        <v>0</v>
      </c>
      <c r="R89" s="10">
        <f t="shared" si="6"/>
        <v>1</v>
      </c>
      <c r="S89" s="10" t="str">
        <f t="shared" si="7"/>
        <v>★</v>
      </c>
    </row>
    <row r="90" spans="1:19" ht="20" thickBot="1" x14ac:dyDescent="0.3">
      <c r="A90" s="4" t="s">
        <v>520</v>
      </c>
      <c r="B90" s="4" t="s">
        <v>219</v>
      </c>
      <c r="C90" s="4" t="s">
        <v>476</v>
      </c>
      <c r="D90" s="4" t="s">
        <v>87</v>
      </c>
      <c r="E90" s="4">
        <v>23</v>
      </c>
      <c r="F90" s="4">
        <v>1449.0000000000002</v>
      </c>
      <c r="G90" s="4">
        <v>27</v>
      </c>
      <c r="H90" s="5">
        <v>0.44400000000000001</v>
      </c>
      <c r="I90" s="4">
        <v>40</v>
      </c>
      <c r="J90" s="4">
        <v>2</v>
      </c>
      <c r="K90" s="6">
        <v>6</v>
      </c>
      <c r="M90" s="18">
        <f t="shared" si="4"/>
        <v>1</v>
      </c>
      <c r="N90" s="23">
        <v>1</v>
      </c>
      <c r="O90" s="18">
        <f t="shared" si="5"/>
        <v>1</v>
      </c>
      <c r="P90" s="18">
        <f t="shared" si="5"/>
        <v>0</v>
      </c>
      <c r="Q90" s="18">
        <f t="shared" si="5"/>
        <v>1</v>
      </c>
      <c r="R90" s="10">
        <f t="shared" si="6"/>
        <v>4</v>
      </c>
      <c r="S90" s="10" t="str">
        <f t="shared" si="7"/>
        <v>★★★★</v>
      </c>
    </row>
    <row r="91" spans="1:19" ht="20" thickBot="1" x14ac:dyDescent="0.3">
      <c r="A91" s="4" t="s">
        <v>627</v>
      </c>
      <c r="B91" s="4" t="s">
        <v>162</v>
      </c>
      <c r="C91" s="4" t="s">
        <v>584</v>
      </c>
      <c r="D91" s="4" t="s">
        <v>21</v>
      </c>
      <c r="E91" s="4">
        <v>28</v>
      </c>
      <c r="F91" s="4">
        <v>1593</v>
      </c>
      <c r="G91" s="4">
        <v>42</v>
      </c>
      <c r="H91" s="7">
        <v>0.31</v>
      </c>
      <c r="I91" s="4">
        <v>44</v>
      </c>
      <c r="J91" s="4">
        <v>5</v>
      </c>
      <c r="K91" s="6">
        <v>8</v>
      </c>
      <c r="M91" s="18">
        <f t="shared" si="4"/>
        <v>1</v>
      </c>
      <c r="N91" s="23">
        <v>0</v>
      </c>
      <c r="O91" s="18">
        <f t="shared" si="5"/>
        <v>1</v>
      </c>
      <c r="P91" s="18">
        <f t="shared" si="5"/>
        <v>1</v>
      </c>
      <c r="Q91" s="18">
        <f t="shared" si="5"/>
        <v>1</v>
      </c>
      <c r="R91" s="10">
        <f t="shared" si="6"/>
        <v>4</v>
      </c>
      <c r="S91" s="10" t="str">
        <f t="shared" si="7"/>
        <v>★★★★</v>
      </c>
    </row>
    <row r="92" spans="1:19" ht="20" thickBot="1" x14ac:dyDescent="0.3">
      <c r="A92" s="4" t="s">
        <v>521</v>
      </c>
      <c r="B92" s="4" t="s">
        <v>32</v>
      </c>
      <c r="C92" s="4" t="s">
        <v>471</v>
      </c>
      <c r="D92" s="4" t="s">
        <v>85</v>
      </c>
      <c r="E92" s="4">
        <v>22</v>
      </c>
      <c r="F92" s="4">
        <v>2124</v>
      </c>
      <c r="G92" s="4">
        <v>57</v>
      </c>
      <c r="H92" s="5">
        <v>0.158</v>
      </c>
      <c r="I92" s="4">
        <v>66</v>
      </c>
      <c r="J92" s="4">
        <v>4</v>
      </c>
      <c r="K92" s="6">
        <v>7</v>
      </c>
      <c r="M92" s="18">
        <f t="shared" si="4"/>
        <v>1</v>
      </c>
      <c r="N92" s="23">
        <v>0</v>
      </c>
      <c r="O92" s="18">
        <f t="shared" si="5"/>
        <v>1</v>
      </c>
      <c r="P92" s="18">
        <f t="shared" si="5"/>
        <v>0.5</v>
      </c>
      <c r="Q92" s="18">
        <f t="shared" si="5"/>
        <v>1</v>
      </c>
      <c r="R92" s="10">
        <f t="shared" si="6"/>
        <v>3.5</v>
      </c>
      <c r="S92" s="10" t="str">
        <f t="shared" si="7"/>
        <v>★★★½</v>
      </c>
    </row>
    <row r="93" spans="1:19" ht="20" thickBot="1" x14ac:dyDescent="0.3">
      <c r="A93" s="4" t="s">
        <v>522</v>
      </c>
      <c r="B93" s="4" t="s">
        <v>29</v>
      </c>
      <c r="C93" s="4" t="s">
        <v>471</v>
      </c>
      <c r="D93" s="4" t="s">
        <v>87</v>
      </c>
      <c r="E93" s="4">
        <v>24</v>
      </c>
      <c r="F93" s="4">
        <v>2457</v>
      </c>
      <c r="G93" s="4">
        <v>73</v>
      </c>
      <c r="H93" s="5">
        <v>0.45200000000000001</v>
      </c>
      <c r="I93" s="4">
        <v>100</v>
      </c>
      <c r="J93" s="4">
        <v>19</v>
      </c>
      <c r="K93" s="6">
        <v>20</v>
      </c>
      <c r="M93" s="18">
        <f t="shared" si="4"/>
        <v>1</v>
      </c>
      <c r="N93" s="23">
        <v>1</v>
      </c>
      <c r="O93" s="18">
        <f t="shared" si="5"/>
        <v>1</v>
      </c>
      <c r="P93" s="18">
        <f t="shared" si="5"/>
        <v>1</v>
      </c>
      <c r="Q93" s="18">
        <f t="shared" si="5"/>
        <v>1</v>
      </c>
      <c r="R93" s="10">
        <f t="shared" si="6"/>
        <v>5</v>
      </c>
      <c r="S93" s="10" t="str">
        <f t="shared" si="7"/>
        <v>★★★★★</v>
      </c>
    </row>
    <row r="94" spans="1:19" ht="20" thickBot="1" x14ac:dyDescent="0.3">
      <c r="A94" s="4" t="s">
        <v>628</v>
      </c>
      <c r="B94" s="4" t="s">
        <v>479</v>
      </c>
      <c r="C94" s="4" t="s">
        <v>584</v>
      </c>
      <c r="D94" s="4" t="s">
        <v>39</v>
      </c>
      <c r="E94" s="4">
        <v>30</v>
      </c>
      <c r="F94" s="4">
        <v>1494.0000000000002</v>
      </c>
      <c r="G94" s="4">
        <v>56</v>
      </c>
      <c r="H94" s="5">
        <v>0.32100000000000001</v>
      </c>
      <c r="I94" s="4">
        <v>64</v>
      </c>
      <c r="J94" s="4">
        <v>7</v>
      </c>
      <c r="K94" s="6">
        <v>16</v>
      </c>
      <c r="M94" s="18">
        <f t="shared" si="4"/>
        <v>1</v>
      </c>
      <c r="N94" s="23">
        <v>0</v>
      </c>
      <c r="O94" s="18">
        <f t="shared" si="5"/>
        <v>1</v>
      </c>
      <c r="P94" s="18">
        <f t="shared" si="5"/>
        <v>1</v>
      </c>
      <c r="Q94" s="18">
        <f t="shared" si="5"/>
        <v>1</v>
      </c>
      <c r="R94" s="10">
        <f t="shared" si="6"/>
        <v>4</v>
      </c>
      <c r="S94" s="10" t="str">
        <f t="shared" si="7"/>
        <v>★★★★</v>
      </c>
    </row>
    <row r="95" spans="1:19" ht="20" thickBot="1" x14ac:dyDescent="0.3">
      <c r="A95" s="4" t="s">
        <v>629</v>
      </c>
      <c r="B95" s="4" t="s">
        <v>72</v>
      </c>
      <c r="C95" s="4" t="s">
        <v>584</v>
      </c>
      <c r="D95" s="4" t="s">
        <v>15</v>
      </c>
      <c r="E95" s="4">
        <v>29</v>
      </c>
      <c r="F95" s="4">
        <v>2817</v>
      </c>
      <c r="G95" s="4">
        <v>99</v>
      </c>
      <c r="H95" s="5">
        <v>0.374</v>
      </c>
      <c r="I95" s="4">
        <v>97</v>
      </c>
      <c r="J95" s="4">
        <v>13</v>
      </c>
      <c r="K95" s="6">
        <v>18</v>
      </c>
      <c r="M95" s="18">
        <f t="shared" si="4"/>
        <v>1</v>
      </c>
      <c r="N95" s="23">
        <v>1</v>
      </c>
      <c r="O95" s="18">
        <f t="shared" si="5"/>
        <v>1</v>
      </c>
      <c r="P95" s="18">
        <f t="shared" si="5"/>
        <v>1</v>
      </c>
      <c r="Q95" s="18">
        <f t="shared" si="5"/>
        <v>1</v>
      </c>
      <c r="R95" s="10">
        <f t="shared" si="6"/>
        <v>5</v>
      </c>
      <c r="S95" s="10" t="str">
        <f t="shared" si="7"/>
        <v>★★★★★</v>
      </c>
    </row>
    <row r="96" spans="1:19" ht="20" thickBot="1" x14ac:dyDescent="0.3">
      <c r="A96" s="4" t="s">
        <v>325</v>
      </c>
      <c r="B96" s="4" t="s">
        <v>29</v>
      </c>
      <c r="C96" s="4" t="s">
        <v>304</v>
      </c>
      <c r="D96" s="4" t="s">
        <v>85</v>
      </c>
      <c r="E96" s="4">
        <v>27</v>
      </c>
      <c r="F96" s="4">
        <v>1745.9999999999998</v>
      </c>
      <c r="G96" s="4">
        <v>21</v>
      </c>
      <c r="H96" s="5">
        <v>0.47599999999999998</v>
      </c>
      <c r="I96" s="4">
        <v>67</v>
      </c>
      <c r="J96" s="4">
        <v>4</v>
      </c>
      <c r="K96" s="6">
        <v>2</v>
      </c>
      <c r="M96" s="18">
        <f t="shared" si="4"/>
        <v>1</v>
      </c>
      <c r="N96" s="23">
        <v>0</v>
      </c>
      <c r="O96" s="18">
        <f t="shared" si="5"/>
        <v>1</v>
      </c>
      <c r="P96" s="18">
        <f t="shared" si="5"/>
        <v>0.5</v>
      </c>
      <c r="Q96" s="18">
        <f t="shared" si="5"/>
        <v>0</v>
      </c>
      <c r="R96" s="10">
        <f t="shared" si="6"/>
        <v>2.5</v>
      </c>
      <c r="S96" s="10" t="str">
        <f t="shared" si="7"/>
        <v>★★½</v>
      </c>
    </row>
    <row r="97" spans="1:19" ht="20" thickBot="1" x14ac:dyDescent="0.3">
      <c r="A97" s="4" t="s">
        <v>630</v>
      </c>
      <c r="B97" s="4" t="s">
        <v>17</v>
      </c>
      <c r="C97" s="4" t="s">
        <v>584</v>
      </c>
      <c r="D97" s="4" t="s">
        <v>47</v>
      </c>
      <c r="E97" s="4">
        <v>25</v>
      </c>
      <c r="F97" s="4">
        <v>216</v>
      </c>
      <c r="G97" s="4">
        <v>5</v>
      </c>
      <c r="H97" s="7">
        <v>0.4</v>
      </c>
      <c r="I97" s="4">
        <v>3</v>
      </c>
      <c r="J97" s="4">
        <v>2</v>
      </c>
      <c r="K97" s="6">
        <v>1</v>
      </c>
      <c r="M97" s="18">
        <f t="shared" si="4"/>
        <v>1</v>
      </c>
      <c r="N97" s="23">
        <v>0</v>
      </c>
      <c r="O97" s="18">
        <f t="shared" si="5"/>
        <v>0</v>
      </c>
      <c r="P97" s="18">
        <f t="shared" si="5"/>
        <v>0</v>
      </c>
      <c r="Q97" s="18">
        <f t="shared" si="5"/>
        <v>0</v>
      </c>
      <c r="R97" s="10">
        <f t="shared" si="6"/>
        <v>1</v>
      </c>
      <c r="S97" s="10" t="str">
        <f t="shared" si="7"/>
        <v>★</v>
      </c>
    </row>
    <row r="98" spans="1:19" ht="20" thickBot="1" x14ac:dyDescent="0.3">
      <c r="A98" s="4" t="s">
        <v>523</v>
      </c>
      <c r="B98" s="4" t="s">
        <v>14</v>
      </c>
      <c r="C98" s="4" t="s">
        <v>476</v>
      </c>
      <c r="D98" s="4" t="s">
        <v>63</v>
      </c>
      <c r="E98" s="4">
        <v>20</v>
      </c>
      <c r="F98" s="4">
        <v>1863</v>
      </c>
      <c r="G98" s="4">
        <v>50</v>
      </c>
      <c r="H98" s="7">
        <v>0.3</v>
      </c>
      <c r="I98" s="4">
        <v>70</v>
      </c>
      <c r="J98" s="4">
        <v>11</v>
      </c>
      <c r="K98" s="6">
        <v>12</v>
      </c>
      <c r="M98" s="18">
        <f t="shared" si="4"/>
        <v>1</v>
      </c>
      <c r="N98" s="23">
        <v>0</v>
      </c>
      <c r="O98" s="18">
        <f t="shared" si="5"/>
        <v>1</v>
      </c>
      <c r="P98" s="18">
        <f t="shared" si="5"/>
        <v>1</v>
      </c>
      <c r="Q98" s="18">
        <f t="shared" si="5"/>
        <v>1</v>
      </c>
      <c r="R98" s="10">
        <f t="shared" si="6"/>
        <v>4</v>
      </c>
      <c r="S98" s="10" t="str">
        <f t="shared" si="7"/>
        <v>★★★★</v>
      </c>
    </row>
    <row r="99" spans="1:19" ht="20" thickBot="1" x14ac:dyDescent="0.3">
      <c r="A99" s="4" t="s">
        <v>328</v>
      </c>
      <c r="B99" s="4" t="s">
        <v>284</v>
      </c>
      <c r="C99" s="4" t="s">
        <v>304</v>
      </c>
      <c r="D99" s="4" t="s">
        <v>18</v>
      </c>
      <c r="E99" s="4">
        <v>27</v>
      </c>
      <c r="F99" s="4">
        <v>648</v>
      </c>
      <c r="G99" s="4">
        <v>4</v>
      </c>
      <c r="H99" s="7">
        <v>0.25</v>
      </c>
      <c r="I99" s="4">
        <v>6</v>
      </c>
      <c r="J99" s="4">
        <v>2</v>
      </c>
      <c r="K99" s="6">
        <v>2</v>
      </c>
      <c r="M99" s="18">
        <f t="shared" si="4"/>
        <v>1</v>
      </c>
      <c r="N99" s="23">
        <v>0</v>
      </c>
      <c r="O99" s="18">
        <f t="shared" si="5"/>
        <v>0</v>
      </c>
      <c r="P99" s="18">
        <f t="shared" si="5"/>
        <v>0</v>
      </c>
      <c r="Q99" s="18">
        <f t="shared" si="5"/>
        <v>0</v>
      </c>
      <c r="R99" s="10">
        <f t="shared" si="6"/>
        <v>1</v>
      </c>
      <c r="S99" s="10" t="str">
        <f t="shared" si="7"/>
        <v>★</v>
      </c>
    </row>
    <row r="100" spans="1:19" ht="20" thickBot="1" x14ac:dyDescent="0.3">
      <c r="A100" s="4" t="s">
        <v>631</v>
      </c>
      <c r="B100" s="4" t="s">
        <v>17</v>
      </c>
      <c r="C100" s="4" t="s">
        <v>584</v>
      </c>
      <c r="D100" s="4" t="s">
        <v>30</v>
      </c>
      <c r="E100" s="4">
        <v>24</v>
      </c>
      <c r="F100" s="4">
        <v>1143</v>
      </c>
      <c r="G100" s="4">
        <v>37</v>
      </c>
      <c r="H100" s="5">
        <v>0.48599999999999999</v>
      </c>
      <c r="I100" s="4">
        <v>18</v>
      </c>
      <c r="J100" s="4">
        <v>2</v>
      </c>
      <c r="K100" s="6">
        <v>6</v>
      </c>
      <c r="M100" s="18">
        <f t="shared" si="4"/>
        <v>1</v>
      </c>
      <c r="N100" s="23">
        <v>1</v>
      </c>
      <c r="O100" s="18">
        <f t="shared" si="5"/>
        <v>0</v>
      </c>
      <c r="P100" s="18">
        <f t="shared" si="5"/>
        <v>0</v>
      </c>
      <c r="Q100" s="18">
        <f t="shared" si="5"/>
        <v>1</v>
      </c>
      <c r="R100" s="10">
        <f t="shared" si="6"/>
        <v>3</v>
      </c>
      <c r="S100" s="10" t="str">
        <f t="shared" si="7"/>
        <v>★★★</v>
      </c>
    </row>
    <row r="101" spans="1:19" ht="20" thickBot="1" x14ac:dyDescent="0.3">
      <c r="A101" s="4" t="s">
        <v>632</v>
      </c>
      <c r="B101" s="4" t="s">
        <v>17</v>
      </c>
      <c r="C101" s="4" t="s">
        <v>584</v>
      </c>
      <c r="D101" s="4" t="s">
        <v>85</v>
      </c>
      <c r="E101" s="4">
        <v>24</v>
      </c>
      <c r="F101" s="4">
        <v>2277</v>
      </c>
      <c r="G101" s="4">
        <v>59</v>
      </c>
      <c r="H101" s="5">
        <v>0.23699999999999999</v>
      </c>
      <c r="I101" s="4">
        <v>64</v>
      </c>
      <c r="J101" s="4">
        <v>3</v>
      </c>
      <c r="K101" s="6">
        <v>10</v>
      </c>
      <c r="M101" s="18">
        <f t="shared" si="4"/>
        <v>1</v>
      </c>
      <c r="N101" s="23">
        <v>0</v>
      </c>
      <c r="O101" s="18">
        <f t="shared" si="5"/>
        <v>1</v>
      </c>
      <c r="P101" s="18">
        <f t="shared" si="5"/>
        <v>0.5</v>
      </c>
      <c r="Q101" s="18">
        <f t="shared" si="5"/>
        <v>1</v>
      </c>
      <c r="R101" s="10">
        <f t="shared" si="6"/>
        <v>3.5</v>
      </c>
      <c r="S101" s="10" t="str">
        <f t="shared" si="7"/>
        <v>★★★½</v>
      </c>
    </row>
    <row r="102" spans="1:19" ht="20" thickBot="1" x14ac:dyDescent="0.3">
      <c r="A102" s="4" t="s">
        <v>633</v>
      </c>
      <c r="B102" s="4" t="s">
        <v>17</v>
      </c>
      <c r="C102" s="4" t="s">
        <v>584</v>
      </c>
      <c r="D102" s="4" t="s">
        <v>43</v>
      </c>
      <c r="E102" s="4">
        <v>21</v>
      </c>
      <c r="F102" s="4">
        <v>2906.9999999999995</v>
      </c>
      <c r="G102" s="4">
        <v>77</v>
      </c>
      <c r="H102" s="5">
        <v>0.247</v>
      </c>
      <c r="I102" s="4">
        <v>77</v>
      </c>
      <c r="J102" s="4">
        <v>12</v>
      </c>
      <c r="K102" s="6">
        <v>11</v>
      </c>
      <c r="M102" s="18">
        <f t="shared" si="4"/>
        <v>1</v>
      </c>
      <c r="N102" s="23">
        <v>0</v>
      </c>
      <c r="O102" s="18">
        <f t="shared" si="5"/>
        <v>1</v>
      </c>
      <c r="P102" s="18">
        <f t="shared" si="5"/>
        <v>1</v>
      </c>
      <c r="Q102" s="18">
        <f t="shared" si="5"/>
        <v>1</v>
      </c>
      <c r="R102" s="10">
        <f t="shared" si="6"/>
        <v>4</v>
      </c>
      <c r="S102" s="10" t="str">
        <f t="shared" si="7"/>
        <v>★★★★</v>
      </c>
    </row>
    <row r="103" spans="1:19" ht="20" thickBot="1" x14ac:dyDescent="0.3">
      <c r="A103" s="4" t="s">
        <v>524</v>
      </c>
      <c r="B103" s="4" t="s">
        <v>29</v>
      </c>
      <c r="C103" s="4" t="s">
        <v>471</v>
      </c>
      <c r="D103" s="4" t="s">
        <v>39</v>
      </c>
      <c r="E103" s="4">
        <v>18</v>
      </c>
      <c r="F103" s="4">
        <v>18</v>
      </c>
      <c r="G103" s="4">
        <v>1</v>
      </c>
      <c r="H103" s="7">
        <v>0</v>
      </c>
      <c r="I103" s="4">
        <v>0</v>
      </c>
      <c r="J103" s="4">
        <v>0</v>
      </c>
      <c r="K103" s="6">
        <v>0</v>
      </c>
      <c r="M103" s="18">
        <f t="shared" si="4"/>
        <v>0</v>
      </c>
      <c r="N103" s="23">
        <v>0</v>
      </c>
      <c r="O103" s="18">
        <f t="shared" si="5"/>
        <v>0</v>
      </c>
      <c r="P103" s="18">
        <f t="shared" si="5"/>
        <v>0</v>
      </c>
      <c r="Q103" s="18">
        <f t="shared" si="5"/>
        <v>0</v>
      </c>
      <c r="R103" s="10">
        <f t="shared" si="6"/>
        <v>0</v>
      </c>
      <c r="S103" s="10" t="str">
        <f t="shared" si="7"/>
        <v>☆</v>
      </c>
    </row>
    <row r="104" spans="1:19" ht="20" thickBot="1" x14ac:dyDescent="0.3">
      <c r="A104" s="4" t="s">
        <v>634</v>
      </c>
      <c r="B104" s="4" t="s">
        <v>29</v>
      </c>
      <c r="C104" s="4" t="s">
        <v>584</v>
      </c>
      <c r="D104" s="4" t="s">
        <v>87</v>
      </c>
      <c r="E104" s="4">
        <v>19</v>
      </c>
      <c r="F104" s="4">
        <v>0</v>
      </c>
      <c r="G104" s="4">
        <v>0</v>
      </c>
      <c r="H104" s="11" t="s">
        <v>129</v>
      </c>
      <c r="I104" s="4">
        <v>0</v>
      </c>
      <c r="J104" s="4">
        <v>0</v>
      </c>
      <c r="K104" s="6">
        <v>0</v>
      </c>
      <c r="M104" s="18">
        <f t="shared" si="4"/>
        <v>0</v>
      </c>
      <c r="N104" s="23">
        <v>0</v>
      </c>
      <c r="O104" s="18">
        <f t="shared" si="5"/>
        <v>0</v>
      </c>
      <c r="P104" s="18">
        <f t="shared" si="5"/>
        <v>0</v>
      </c>
      <c r="Q104" s="18">
        <f t="shared" si="5"/>
        <v>0</v>
      </c>
      <c r="R104" s="10">
        <f t="shared" si="6"/>
        <v>0</v>
      </c>
      <c r="S104" s="10" t="str">
        <f t="shared" si="7"/>
        <v>☆</v>
      </c>
    </row>
    <row r="105" spans="1:19" ht="20" thickBot="1" x14ac:dyDescent="0.3">
      <c r="A105" s="4" t="s">
        <v>635</v>
      </c>
      <c r="B105" s="4" t="s">
        <v>127</v>
      </c>
      <c r="C105" s="4" t="s">
        <v>584</v>
      </c>
      <c r="D105" s="4" t="s">
        <v>58</v>
      </c>
      <c r="E105" s="4">
        <v>20</v>
      </c>
      <c r="F105" s="4">
        <v>9</v>
      </c>
      <c r="G105" s="4">
        <v>0</v>
      </c>
      <c r="H105" s="11" t="s">
        <v>129</v>
      </c>
      <c r="I105" s="4">
        <v>0</v>
      </c>
      <c r="J105" s="4">
        <v>0</v>
      </c>
      <c r="K105" s="6">
        <v>0</v>
      </c>
      <c r="M105" s="18">
        <f t="shared" si="4"/>
        <v>0</v>
      </c>
      <c r="N105" s="23">
        <v>0</v>
      </c>
      <c r="O105" s="18">
        <f t="shared" si="5"/>
        <v>0</v>
      </c>
      <c r="P105" s="18">
        <f t="shared" si="5"/>
        <v>0</v>
      </c>
      <c r="Q105" s="18">
        <f t="shared" si="5"/>
        <v>0</v>
      </c>
      <c r="R105" s="10">
        <f t="shared" si="6"/>
        <v>0</v>
      </c>
      <c r="S105" s="10" t="str">
        <f t="shared" si="7"/>
        <v>☆</v>
      </c>
    </row>
    <row r="106" spans="1:19" ht="20" thickBot="1" x14ac:dyDescent="0.3">
      <c r="A106" s="4" t="s">
        <v>636</v>
      </c>
      <c r="B106" s="4" t="s">
        <v>637</v>
      </c>
      <c r="C106" s="4" t="s">
        <v>584</v>
      </c>
      <c r="D106" s="4" t="s">
        <v>47</v>
      </c>
      <c r="E106" s="4">
        <v>18</v>
      </c>
      <c r="F106" s="4">
        <v>72</v>
      </c>
      <c r="G106" s="4">
        <v>1</v>
      </c>
      <c r="H106" s="7">
        <v>1</v>
      </c>
      <c r="I106" s="4">
        <v>0</v>
      </c>
      <c r="J106" s="4">
        <v>0</v>
      </c>
      <c r="K106" s="6">
        <v>0</v>
      </c>
      <c r="M106" s="18">
        <f t="shared" si="4"/>
        <v>1</v>
      </c>
      <c r="N106" s="23">
        <v>0</v>
      </c>
      <c r="O106" s="18">
        <f t="shared" si="5"/>
        <v>0</v>
      </c>
      <c r="P106" s="18">
        <f t="shared" si="5"/>
        <v>0</v>
      </c>
      <c r="Q106" s="18">
        <f t="shared" si="5"/>
        <v>0</v>
      </c>
      <c r="R106" s="10">
        <f t="shared" si="6"/>
        <v>1</v>
      </c>
      <c r="S106" s="10" t="str">
        <f t="shared" si="7"/>
        <v>★</v>
      </c>
    </row>
    <row r="107" spans="1:19" ht="20" thickBot="1" x14ac:dyDescent="0.3">
      <c r="A107" s="4" t="s">
        <v>525</v>
      </c>
      <c r="B107" s="4" t="s">
        <v>434</v>
      </c>
      <c r="C107" s="4" t="s">
        <v>476</v>
      </c>
      <c r="D107" s="4" t="s">
        <v>15</v>
      </c>
      <c r="E107" s="4">
        <v>26</v>
      </c>
      <c r="F107" s="4">
        <v>189</v>
      </c>
      <c r="G107" s="4">
        <v>7</v>
      </c>
      <c r="H107" s="5">
        <v>0.57099999999999995</v>
      </c>
      <c r="I107" s="4">
        <v>7</v>
      </c>
      <c r="J107" s="4">
        <v>1</v>
      </c>
      <c r="K107" s="6">
        <v>3</v>
      </c>
      <c r="M107" s="18">
        <f t="shared" si="4"/>
        <v>1</v>
      </c>
      <c r="N107" s="23">
        <v>0</v>
      </c>
      <c r="O107" s="18">
        <f t="shared" si="5"/>
        <v>0</v>
      </c>
      <c r="P107" s="18">
        <f t="shared" si="5"/>
        <v>0</v>
      </c>
      <c r="Q107" s="18">
        <f t="shared" si="5"/>
        <v>0</v>
      </c>
      <c r="R107" s="10">
        <f t="shared" si="6"/>
        <v>1</v>
      </c>
      <c r="S107" s="10" t="str">
        <f t="shared" si="7"/>
        <v>★</v>
      </c>
    </row>
    <row r="108" spans="1:19" ht="20" thickBot="1" x14ac:dyDescent="0.3">
      <c r="A108" s="4" t="s">
        <v>526</v>
      </c>
      <c r="B108" s="4" t="s">
        <v>41</v>
      </c>
      <c r="C108" s="4" t="s">
        <v>471</v>
      </c>
      <c r="D108" s="4" t="s">
        <v>85</v>
      </c>
      <c r="E108" s="4">
        <v>22</v>
      </c>
      <c r="F108" s="4">
        <v>1700.9999999999998</v>
      </c>
      <c r="G108" s="4">
        <v>28</v>
      </c>
      <c r="H108" s="5">
        <v>0.214</v>
      </c>
      <c r="I108" s="4">
        <v>37</v>
      </c>
      <c r="J108" s="4">
        <v>4</v>
      </c>
      <c r="K108" s="6">
        <v>3</v>
      </c>
      <c r="M108" s="18">
        <f t="shared" si="4"/>
        <v>1</v>
      </c>
      <c r="N108" s="23">
        <v>0</v>
      </c>
      <c r="O108" s="18">
        <f t="shared" si="5"/>
        <v>1</v>
      </c>
      <c r="P108" s="18">
        <f t="shared" si="5"/>
        <v>0.5</v>
      </c>
      <c r="Q108" s="18">
        <f t="shared" si="5"/>
        <v>0</v>
      </c>
      <c r="R108" s="10">
        <f t="shared" si="6"/>
        <v>2.5</v>
      </c>
      <c r="S108" s="10" t="str">
        <f t="shared" si="7"/>
        <v>★★½</v>
      </c>
    </row>
    <row r="109" spans="1:19" ht="20" thickBot="1" x14ac:dyDescent="0.3">
      <c r="A109" s="4" t="s">
        <v>638</v>
      </c>
      <c r="B109" s="4" t="s">
        <v>14</v>
      </c>
      <c r="C109" s="4" t="s">
        <v>584</v>
      </c>
      <c r="D109" s="4" t="s">
        <v>69</v>
      </c>
      <c r="E109" s="4">
        <v>24</v>
      </c>
      <c r="F109" s="4">
        <v>0</v>
      </c>
      <c r="G109" s="4">
        <v>0</v>
      </c>
      <c r="H109" s="11" t="s">
        <v>129</v>
      </c>
      <c r="I109" s="4">
        <v>0</v>
      </c>
      <c r="J109" s="4">
        <v>0</v>
      </c>
      <c r="K109" s="6">
        <v>0</v>
      </c>
      <c r="M109" s="18">
        <f t="shared" si="4"/>
        <v>0</v>
      </c>
      <c r="N109" s="23">
        <v>0</v>
      </c>
      <c r="O109" s="18">
        <f t="shared" si="5"/>
        <v>0</v>
      </c>
      <c r="P109" s="18">
        <f t="shared" si="5"/>
        <v>0</v>
      </c>
      <c r="Q109" s="18">
        <f t="shared" si="5"/>
        <v>0</v>
      </c>
      <c r="R109" s="10">
        <f t="shared" si="6"/>
        <v>0</v>
      </c>
      <c r="S109" s="10" t="str">
        <f t="shared" si="7"/>
        <v>☆</v>
      </c>
    </row>
    <row r="110" spans="1:19" ht="20" thickBot="1" x14ac:dyDescent="0.3">
      <c r="A110" s="4" t="s">
        <v>527</v>
      </c>
      <c r="B110" s="4" t="s">
        <v>29</v>
      </c>
      <c r="C110" s="4" t="s">
        <v>471</v>
      </c>
      <c r="D110" s="4" t="s">
        <v>21</v>
      </c>
      <c r="E110" s="4">
        <v>22</v>
      </c>
      <c r="F110" s="4">
        <v>2367</v>
      </c>
      <c r="G110" s="4">
        <v>75</v>
      </c>
      <c r="H110" s="7">
        <v>0.36</v>
      </c>
      <c r="I110" s="4">
        <v>111</v>
      </c>
      <c r="J110" s="4">
        <v>15</v>
      </c>
      <c r="K110" s="6">
        <v>21</v>
      </c>
      <c r="M110" s="18">
        <f t="shared" si="4"/>
        <v>1</v>
      </c>
      <c r="N110" s="23">
        <v>1</v>
      </c>
      <c r="O110" s="18">
        <f t="shared" si="5"/>
        <v>1</v>
      </c>
      <c r="P110" s="18">
        <f t="shared" si="5"/>
        <v>1</v>
      </c>
      <c r="Q110" s="18">
        <f t="shared" si="5"/>
        <v>1</v>
      </c>
      <c r="R110" s="10">
        <f t="shared" si="6"/>
        <v>5</v>
      </c>
      <c r="S110" s="10" t="str">
        <f t="shared" si="7"/>
        <v>★★★★★</v>
      </c>
    </row>
    <row r="111" spans="1:19" ht="20" thickBot="1" x14ac:dyDescent="0.3">
      <c r="A111" s="4" t="s">
        <v>528</v>
      </c>
      <c r="B111" s="4" t="s">
        <v>14</v>
      </c>
      <c r="C111" s="4" t="s">
        <v>476</v>
      </c>
      <c r="D111" s="4" t="s">
        <v>65</v>
      </c>
      <c r="E111" s="4">
        <v>28</v>
      </c>
      <c r="F111" s="4">
        <v>1773</v>
      </c>
      <c r="G111" s="4">
        <v>38</v>
      </c>
      <c r="H111" s="5">
        <v>0.28899999999999998</v>
      </c>
      <c r="I111" s="4">
        <v>63</v>
      </c>
      <c r="J111" s="4">
        <v>9</v>
      </c>
      <c r="K111" s="6">
        <v>8</v>
      </c>
      <c r="M111" s="18">
        <f t="shared" si="4"/>
        <v>1</v>
      </c>
      <c r="N111" s="23">
        <v>0</v>
      </c>
      <c r="O111" s="18">
        <f t="shared" si="5"/>
        <v>1</v>
      </c>
      <c r="P111" s="18">
        <f t="shared" si="5"/>
        <v>1</v>
      </c>
      <c r="Q111" s="18">
        <f t="shared" si="5"/>
        <v>1</v>
      </c>
      <c r="R111" s="10">
        <f t="shared" si="6"/>
        <v>4</v>
      </c>
      <c r="S111" s="10" t="str">
        <f t="shared" si="7"/>
        <v>★★★★</v>
      </c>
    </row>
    <row r="112" spans="1:19" ht="20" thickBot="1" x14ac:dyDescent="0.3">
      <c r="A112" s="4" t="s">
        <v>351</v>
      </c>
      <c r="B112" s="4" t="s">
        <v>29</v>
      </c>
      <c r="C112" s="4" t="s">
        <v>114</v>
      </c>
      <c r="D112" s="4" t="s">
        <v>35</v>
      </c>
      <c r="E112" s="4">
        <v>26</v>
      </c>
      <c r="F112" s="4">
        <v>1475.9999999999998</v>
      </c>
      <c r="G112" s="4">
        <v>28</v>
      </c>
      <c r="H112" s="5">
        <v>0.214</v>
      </c>
      <c r="I112" s="4">
        <v>45</v>
      </c>
      <c r="J112" s="4">
        <v>5</v>
      </c>
      <c r="K112" s="6">
        <v>3</v>
      </c>
      <c r="M112" s="18">
        <f t="shared" si="4"/>
        <v>1</v>
      </c>
      <c r="N112" s="23">
        <v>0</v>
      </c>
      <c r="O112" s="18">
        <f t="shared" si="5"/>
        <v>1</v>
      </c>
      <c r="P112" s="18">
        <f t="shared" si="5"/>
        <v>1</v>
      </c>
      <c r="Q112" s="18">
        <f t="shared" si="5"/>
        <v>0</v>
      </c>
      <c r="R112" s="10">
        <f t="shared" si="6"/>
        <v>3</v>
      </c>
      <c r="S112" s="10" t="str">
        <f t="shared" si="7"/>
        <v>★★★</v>
      </c>
    </row>
    <row r="113" spans="1:19" ht="20" thickBot="1" x14ac:dyDescent="0.3">
      <c r="A113" s="4" t="s">
        <v>529</v>
      </c>
      <c r="B113" s="4" t="s">
        <v>530</v>
      </c>
      <c r="C113" s="4" t="s">
        <v>471</v>
      </c>
      <c r="D113" s="4" t="s">
        <v>85</v>
      </c>
      <c r="E113" s="4">
        <v>23</v>
      </c>
      <c r="F113" s="4">
        <v>999</v>
      </c>
      <c r="G113" s="4">
        <v>19</v>
      </c>
      <c r="H113" s="5">
        <v>0.42099999999999999</v>
      </c>
      <c r="I113" s="4">
        <v>22</v>
      </c>
      <c r="J113" s="4">
        <v>7</v>
      </c>
      <c r="K113" s="6">
        <v>6</v>
      </c>
      <c r="M113" s="18">
        <f t="shared" si="4"/>
        <v>1</v>
      </c>
      <c r="N113" s="23">
        <v>0</v>
      </c>
      <c r="O113" s="18">
        <f t="shared" si="5"/>
        <v>0</v>
      </c>
      <c r="P113" s="18">
        <f t="shared" si="5"/>
        <v>1</v>
      </c>
      <c r="Q113" s="18">
        <f t="shared" si="5"/>
        <v>1</v>
      </c>
      <c r="R113" s="10">
        <f t="shared" si="6"/>
        <v>3</v>
      </c>
      <c r="S113" s="10" t="str">
        <f t="shared" si="7"/>
        <v>★★★</v>
      </c>
    </row>
    <row r="114" spans="1:19" ht="20" thickBot="1" x14ac:dyDescent="0.3">
      <c r="A114" s="4" t="s">
        <v>639</v>
      </c>
      <c r="B114" s="4" t="s">
        <v>29</v>
      </c>
      <c r="C114" s="4" t="s">
        <v>584</v>
      </c>
      <c r="D114" s="4" t="s">
        <v>63</v>
      </c>
      <c r="E114" s="4">
        <v>21</v>
      </c>
      <c r="F114" s="4">
        <v>18</v>
      </c>
      <c r="G114" s="4">
        <v>1</v>
      </c>
      <c r="H114" s="7">
        <v>0</v>
      </c>
      <c r="I114" s="4">
        <v>3</v>
      </c>
      <c r="J114" s="4">
        <v>0</v>
      </c>
      <c r="K114" s="6">
        <v>0</v>
      </c>
      <c r="M114" s="18">
        <f t="shared" si="4"/>
        <v>0</v>
      </c>
      <c r="N114" s="23">
        <v>0</v>
      </c>
      <c r="O114" s="18">
        <f t="shared" si="5"/>
        <v>0</v>
      </c>
      <c r="P114" s="18">
        <f t="shared" si="5"/>
        <v>0</v>
      </c>
      <c r="Q114" s="18">
        <f t="shared" si="5"/>
        <v>0</v>
      </c>
      <c r="R114" s="10">
        <f t="shared" si="6"/>
        <v>0</v>
      </c>
      <c r="S114" s="10" t="str">
        <f t="shared" si="7"/>
        <v>☆</v>
      </c>
    </row>
    <row r="115" spans="1:19" ht="20" thickBot="1" x14ac:dyDescent="0.3">
      <c r="A115" s="4" t="s">
        <v>531</v>
      </c>
      <c r="B115" s="4" t="s">
        <v>83</v>
      </c>
      <c r="C115" s="4" t="s">
        <v>476</v>
      </c>
      <c r="D115" s="4" t="s">
        <v>81</v>
      </c>
      <c r="E115" s="4">
        <v>21</v>
      </c>
      <c r="F115" s="4">
        <v>468</v>
      </c>
      <c r="G115" s="4">
        <v>17</v>
      </c>
      <c r="H115" s="5">
        <v>0.23499999999999999</v>
      </c>
      <c r="I115" s="4">
        <v>23</v>
      </c>
      <c r="J115" s="4">
        <v>1</v>
      </c>
      <c r="K115" s="6">
        <v>2</v>
      </c>
      <c r="M115" s="18">
        <f t="shared" si="4"/>
        <v>1</v>
      </c>
      <c r="N115" s="23">
        <v>0</v>
      </c>
      <c r="O115" s="18">
        <f t="shared" si="5"/>
        <v>0</v>
      </c>
      <c r="P115" s="18">
        <f t="shared" si="5"/>
        <v>0</v>
      </c>
      <c r="Q115" s="18">
        <f t="shared" si="5"/>
        <v>0</v>
      </c>
      <c r="R115" s="10">
        <f t="shared" si="6"/>
        <v>1</v>
      </c>
      <c r="S115" s="10" t="str">
        <f t="shared" si="7"/>
        <v>★</v>
      </c>
    </row>
    <row r="116" spans="1:19" ht="20" thickBot="1" x14ac:dyDescent="0.3">
      <c r="A116" s="4" t="s">
        <v>640</v>
      </c>
      <c r="B116" s="4" t="s">
        <v>29</v>
      </c>
      <c r="C116" s="4" t="s">
        <v>584</v>
      </c>
      <c r="D116" s="4" t="s">
        <v>63</v>
      </c>
      <c r="E116" s="4">
        <v>22</v>
      </c>
      <c r="F116" s="4">
        <v>837.00000000000011</v>
      </c>
      <c r="G116" s="4">
        <v>28</v>
      </c>
      <c r="H116" s="5">
        <v>0.42899999999999999</v>
      </c>
      <c r="I116" s="4">
        <v>23</v>
      </c>
      <c r="J116" s="4">
        <v>4</v>
      </c>
      <c r="K116" s="6">
        <v>6</v>
      </c>
      <c r="M116" s="18">
        <f t="shared" si="4"/>
        <v>1</v>
      </c>
      <c r="N116" s="23">
        <v>1</v>
      </c>
      <c r="O116" s="18">
        <f t="shared" si="5"/>
        <v>0</v>
      </c>
      <c r="P116" s="18">
        <f t="shared" si="5"/>
        <v>0.5</v>
      </c>
      <c r="Q116" s="18">
        <f t="shared" si="5"/>
        <v>1</v>
      </c>
      <c r="R116" s="10">
        <f t="shared" si="6"/>
        <v>3.5</v>
      </c>
      <c r="S116" s="10" t="str">
        <f t="shared" si="7"/>
        <v>★★★½</v>
      </c>
    </row>
    <row r="117" spans="1:19" ht="20" thickBot="1" x14ac:dyDescent="0.3">
      <c r="A117" s="4" t="s">
        <v>532</v>
      </c>
      <c r="B117" s="4" t="s">
        <v>17</v>
      </c>
      <c r="C117" s="4" t="s">
        <v>476</v>
      </c>
      <c r="D117" s="4" t="s">
        <v>30</v>
      </c>
      <c r="E117" s="4">
        <v>19</v>
      </c>
      <c r="F117" s="4">
        <v>1143</v>
      </c>
      <c r="G117" s="4">
        <v>19</v>
      </c>
      <c r="H117" s="5">
        <v>0.52600000000000002</v>
      </c>
      <c r="I117" s="4">
        <v>38</v>
      </c>
      <c r="J117" s="4">
        <v>7</v>
      </c>
      <c r="K117" s="6">
        <v>7</v>
      </c>
      <c r="M117" s="18">
        <f t="shared" si="4"/>
        <v>1</v>
      </c>
      <c r="N117" s="23">
        <v>0</v>
      </c>
      <c r="O117" s="18">
        <f t="shared" si="5"/>
        <v>1</v>
      </c>
      <c r="P117" s="18">
        <f t="shared" si="5"/>
        <v>1</v>
      </c>
      <c r="Q117" s="18">
        <f t="shared" si="5"/>
        <v>1</v>
      </c>
      <c r="R117" s="10">
        <f t="shared" si="6"/>
        <v>4</v>
      </c>
      <c r="S117" s="10" t="str">
        <f t="shared" si="7"/>
        <v>★★★★</v>
      </c>
    </row>
    <row r="118" spans="1:19" ht="20" thickBot="1" x14ac:dyDescent="0.3">
      <c r="A118" s="4" t="s">
        <v>533</v>
      </c>
      <c r="B118" s="4" t="s">
        <v>29</v>
      </c>
      <c r="C118" s="4" t="s">
        <v>471</v>
      </c>
      <c r="D118" s="4" t="s">
        <v>27</v>
      </c>
      <c r="E118" s="4">
        <v>18</v>
      </c>
      <c r="F118" s="4">
        <v>27</v>
      </c>
      <c r="G118" s="4">
        <v>1</v>
      </c>
      <c r="H118" s="7">
        <v>0</v>
      </c>
      <c r="I118" s="4">
        <v>0</v>
      </c>
      <c r="J118" s="4">
        <v>0</v>
      </c>
      <c r="K118" s="6">
        <v>0</v>
      </c>
      <c r="M118" s="18">
        <f t="shared" si="4"/>
        <v>0.5</v>
      </c>
      <c r="N118" s="23">
        <v>0</v>
      </c>
      <c r="O118" s="18">
        <f t="shared" si="5"/>
        <v>0</v>
      </c>
      <c r="P118" s="18">
        <f t="shared" si="5"/>
        <v>0</v>
      </c>
      <c r="Q118" s="18">
        <f t="shared" si="5"/>
        <v>0</v>
      </c>
      <c r="R118" s="10">
        <f t="shared" si="6"/>
        <v>0.5</v>
      </c>
      <c r="S118" s="10" t="str">
        <f t="shared" si="7"/>
        <v>½</v>
      </c>
    </row>
    <row r="119" spans="1:19" ht="20" thickBot="1" x14ac:dyDescent="0.3">
      <c r="A119" s="4" t="s">
        <v>641</v>
      </c>
      <c r="B119" s="4" t="s">
        <v>162</v>
      </c>
      <c r="C119" s="4" t="s">
        <v>584</v>
      </c>
      <c r="D119" s="4" t="s">
        <v>15</v>
      </c>
      <c r="E119" s="4">
        <v>26</v>
      </c>
      <c r="F119" s="4">
        <v>135</v>
      </c>
      <c r="G119" s="4">
        <v>10</v>
      </c>
      <c r="H119" s="7">
        <v>0.5</v>
      </c>
      <c r="I119" s="4">
        <v>2</v>
      </c>
      <c r="J119" s="4">
        <v>2</v>
      </c>
      <c r="K119" s="6">
        <v>3</v>
      </c>
      <c r="M119" s="18">
        <f t="shared" si="4"/>
        <v>1</v>
      </c>
      <c r="N119" s="23">
        <v>0</v>
      </c>
      <c r="O119" s="18">
        <f t="shared" si="5"/>
        <v>0</v>
      </c>
      <c r="P119" s="18">
        <f t="shared" si="5"/>
        <v>0</v>
      </c>
      <c r="Q119" s="18">
        <f t="shared" si="5"/>
        <v>0</v>
      </c>
      <c r="R119" s="10">
        <f t="shared" si="6"/>
        <v>1</v>
      </c>
      <c r="S119" s="10" t="str">
        <f t="shared" si="7"/>
        <v>★</v>
      </c>
    </row>
    <row r="120" spans="1:19" ht="20" thickBot="1" x14ac:dyDescent="0.3">
      <c r="A120" s="4" t="s">
        <v>534</v>
      </c>
      <c r="B120" s="4" t="s">
        <v>29</v>
      </c>
      <c r="C120" s="4" t="s">
        <v>471</v>
      </c>
      <c r="D120" s="4" t="s">
        <v>15</v>
      </c>
      <c r="E120" s="4">
        <v>27</v>
      </c>
      <c r="F120" s="4">
        <v>782.99999999999989</v>
      </c>
      <c r="G120" s="4">
        <v>21</v>
      </c>
      <c r="H120" s="5">
        <v>0.14299999999999999</v>
      </c>
      <c r="I120" s="4">
        <v>21</v>
      </c>
      <c r="J120" s="4">
        <v>1</v>
      </c>
      <c r="K120" s="6">
        <v>3</v>
      </c>
      <c r="M120" s="18">
        <f t="shared" si="4"/>
        <v>1</v>
      </c>
      <c r="N120" s="23">
        <v>0</v>
      </c>
      <c r="O120" s="18">
        <f t="shared" si="5"/>
        <v>0</v>
      </c>
      <c r="P120" s="18">
        <f t="shared" si="5"/>
        <v>0</v>
      </c>
      <c r="Q120" s="18">
        <f t="shared" si="5"/>
        <v>0</v>
      </c>
      <c r="R120" s="10">
        <f t="shared" si="6"/>
        <v>1</v>
      </c>
      <c r="S120" s="10" t="str">
        <f t="shared" si="7"/>
        <v>★</v>
      </c>
    </row>
    <row r="121" spans="1:19" ht="20" thickBot="1" x14ac:dyDescent="0.3">
      <c r="A121" s="4" t="s">
        <v>535</v>
      </c>
      <c r="B121" s="4" t="s">
        <v>29</v>
      </c>
      <c r="C121" s="4" t="s">
        <v>476</v>
      </c>
      <c r="D121" s="4" t="s">
        <v>39</v>
      </c>
      <c r="E121" s="4">
        <v>19</v>
      </c>
      <c r="F121" s="4">
        <v>125.99999999999999</v>
      </c>
      <c r="G121" s="4">
        <v>4</v>
      </c>
      <c r="H121" s="7">
        <v>0.25</v>
      </c>
      <c r="I121" s="4">
        <v>7</v>
      </c>
      <c r="J121" s="4">
        <v>1</v>
      </c>
      <c r="K121" s="6">
        <v>0</v>
      </c>
      <c r="M121" s="18">
        <f t="shared" si="4"/>
        <v>1</v>
      </c>
      <c r="N121" s="23">
        <v>0</v>
      </c>
      <c r="O121" s="18">
        <f t="shared" si="5"/>
        <v>0</v>
      </c>
      <c r="P121" s="18">
        <f t="shared" si="5"/>
        <v>0</v>
      </c>
      <c r="Q121" s="18">
        <f t="shared" si="5"/>
        <v>0</v>
      </c>
      <c r="R121" s="10">
        <f t="shared" si="6"/>
        <v>1</v>
      </c>
      <c r="S121" s="10" t="str">
        <f t="shared" si="7"/>
        <v>★</v>
      </c>
    </row>
    <row r="122" spans="1:19" ht="20" thickBot="1" x14ac:dyDescent="0.3">
      <c r="A122" s="4" t="s">
        <v>536</v>
      </c>
      <c r="B122" s="4" t="s">
        <v>133</v>
      </c>
      <c r="C122" s="4" t="s">
        <v>476</v>
      </c>
      <c r="D122" s="4" t="s">
        <v>63</v>
      </c>
      <c r="E122" s="4">
        <v>26</v>
      </c>
      <c r="F122" s="4">
        <v>693</v>
      </c>
      <c r="G122" s="4">
        <v>23</v>
      </c>
      <c r="H122" s="5">
        <v>0.30399999999999999</v>
      </c>
      <c r="I122" s="4">
        <v>28</v>
      </c>
      <c r="J122" s="4">
        <v>4</v>
      </c>
      <c r="K122" s="6">
        <v>3</v>
      </c>
      <c r="M122" s="18">
        <f t="shared" si="4"/>
        <v>1</v>
      </c>
      <c r="N122" s="23">
        <v>0</v>
      </c>
      <c r="O122" s="18">
        <f t="shared" si="5"/>
        <v>0.5</v>
      </c>
      <c r="P122" s="18">
        <f t="shared" si="5"/>
        <v>0.5</v>
      </c>
      <c r="Q122" s="18">
        <f t="shared" si="5"/>
        <v>0</v>
      </c>
      <c r="R122" s="10">
        <f t="shared" si="6"/>
        <v>2</v>
      </c>
      <c r="S122" s="10" t="str">
        <f t="shared" si="7"/>
        <v>★★</v>
      </c>
    </row>
    <row r="123" spans="1:19" ht="20" thickBot="1" x14ac:dyDescent="0.3">
      <c r="A123" s="4" t="s">
        <v>537</v>
      </c>
      <c r="B123" s="4" t="s">
        <v>20</v>
      </c>
      <c r="C123" s="4" t="s">
        <v>471</v>
      </c>
      <c r="D123" s="4" t="s">
        <v>87</v>
      </c>
      <c r="E123" s="4">
        <v>28</v>
      </c>
      <c r="F123" s="4">
        <v>441.00000000000006</v>
      </c>
      <c r="G123" s="4">
        <v>11</v>
      </c>
      <c r="H123" s="5">
        <v>0.54500000000000004</v>
      </c>
      <c r="I123" s="4">
        <v>18</v>
      </c>
      <c r="J123" s="4">
        <v>2</v>
      </c>
      <c r="K123" s="6">
        <v>5</v>
      </c>
      <c r="M123" s="18">
        <f t="shared" si="4"/>
        <v>1</v>
      </c>
      <c r="N123" s="23">
        <v>0</v>
      </c>
      <c r="O123" s="18">
        <f t="shared" si="5"/>
        <v>0</v>
      </c>
      <c r="P123" s="18">
        <f t="shared" si="5"/>
        <v>0</v>
      </c>
      <c r="Q123" s="18">
        <f t="shared" si="5"/>
        <v>0.5</v>
      </c>
      <c r="R123" s="10">
        <f t="shared" si="6"/>
        <v>1.5</v>
      </c>
      <c r="S123" s="10" t="str">
        <f t="shared" si="7"/>
        <v>★½</v>
      </c>
    </row>
    <row r="124" spans="1:19" ht="20" thickBot="1" x14ac:dyDescent="0.3">
      <c r="A124" s="4" t="s">
        <v>642</v>
      </c>
      <c r="B124" s="4" t="s">
        <v>29</v>
      </c>
      <c r="C124" s="4" t="s">
        <v>584</v>
      </c>
      <c r="D124" s="4" t="s">
        <v>18</v>
      </c>
      <c r="E124" s="4">
        <v>17</v>
      </c>
      <c r="F124" s="4">
        <v>0</v>
      </c>
      <c r="G124" s="4">
        <v>0</v>
      </c>
      <c r="H124" s="11" t="s">
        <v>129</v>
      </c>
      <c r="I124" s="4">
        <v>0</v>
      </c>
      <c r="J124" s="4">
        <v>0</v>
      </c>
      <c r="K124" s="6">
        <v>0</v>
      </c>
      <c r="M124" s="18">
        <f t="shared" si="4"/>
        <v>0</v>
      </c>
      <c r="N124" s="23">
        <v>0</v>
      </c>
      <c r="O124" s="18">
        <f t="shared" si="5"/>
        <v>0</v>
      </c>
      <c r="P124" s="18">
        <f t="shared" si="5"/>
        <v>0</v>
      </c>
      <c r="Q124" s="18">
        <f t="shared" si="5"/>
        <v>0</v>
      </c>
      <c r="R124" s="10">
        <f t="shared" si="6"/>
        <v>0</v>
      </c>
      <c r="S124" s="10" t="str">
        <f t="shared" si="7"/>
        <v>☆</v>
      </c>
    </row>
    <row r="125" spans="1:19" ht="20" thickBot="1" x14ac:dyDescent="0.3">
      <c r="A125" s="4" t="s">
        <v>643</v>
      </c>
      <c r="B125" s="4" t="s">
        <v>29</v>
      </c>
      <c r="C125" s="4" t="s">
        <v>584</v>
      </c>
      <c r="D125" s="4" t="s">
        <v>69</v>
      </c>
      <c r="E125" s="4">
        <v>19</v>
      </c>
      <c r="F125" s="4">
        <v>9</v>
      </c>
      <c r="G125" s="4">
        <v>0</v>
      </c>
      <c r="H125" s="11" t="s">
        <v>129</v>
      </c>
      <c r="I125" s="4">
        <v>1</v>
      </c>
      <c r="J125" s="4">
        <v>0</v>
      </c>
      <c r="K125" s="6">
        <v>0</v>
      </c>
      <c r="M125" s="18">
        <f t="shared" si="4"/>
        <v>0</v>
      </c>
      <c r="N125" s="23">
        <v>0</v>
      </c>
      <c r="O125" s="18">
        <f t="shared" si="5"/>
        <v>0</v>
      </c>
      <c r="P125" s="18">
        <f t="shared" si="5"/>
        <v>0</v>
      </c>
      <c r="Q125" s="18">
        <f t="shared" si="5"/>
        <v>0</v>
      </c>
      <c r="R125" s="10">
        <f t="shared" si="6"/>
        <v>0</v>
      </c>
      <c r="S125" s="10" t="str">
        <f t="shared" si="7"/>
        <v>☆</v>
      </c>
    </row>
    <row r="126" spans="1:19" ht="20" thickBot="1" x14ac:dyDescent="0.3">
      <c r="A126" s="4" t="s">
        <v>538</v>
      </c>
      <c r="B126" s="4" t="s">
        <v>41</v>
      </c>
      <c r="C126" s="4" t="s">
        <v>476</v>
      </c>
      <c r="D126" s="4" t="s">
        <v>50</v>
      </c>
      <c r="E126" s="4">
        <v>23</v>
      </c>
      <c r="F126" s="4">
        <v>503.99999999999994</v>
      </c>
      <c r="G126" s="4">
        <v>8</v>
      </c>
      <c r="H126" s="5">
        <v>0.875</v>
      </c>
      <c r="I126" s="4">
        <v>14</v>
      </c>
      <c r="J126" s="4">
        <v>0</v>
      </c>
      <c r="K126" s="6">
        <v>0</v>
      </c>
      <c r="M126" s="18">
        <f t="shared" si="4"/>
        <v>1</v>
      </c>
      <c r="N126" s="23">
        <v>0</v>
      </c>
      <c r="O126" s="18">
        <f t="shared" si="5"/>
        <v>0</v>
      </c>
      <c r="P126" s="18">
        <f t="shared" si="5"/>
        <v>0</v>
      </c>
      <c r="Q126" s="18">
        <f t="shared" si="5"/>
        <v>0</v>
      </c>
      <c r="R126" s="10">
        <f t="shared" si="6"/>
        <v>1</v>
      </c>
      <c r="S126" s="10" t="str">
        <f t="shared" si="7"/>
        <v>★</v>
      </c>
    </row>
    <row r="127" spans="1:19" ht="20" thickBot="1" x14ac:dyDescent="0.3">
      <c r="A127" s="4" t="s">
        <v>539</v>
      </c>
      <c r="B127" s="4" t="s">
        <v>83</v>
      </c>
      <c r="C127" s="4" t="s">
        <v>476</v>
      </c>
      <c r="D127" s="4" t="s">
        <v>81</v>
      </c>
      <c r="E127" s="4">
        <v>25</v>
      </c>
      <c r="F127" s="4">
        <v>1485</v>
      </c>
      <c r="G127" s="4">
        <v>35</v>
      </c>
      <c r="H127" s="5">
        <v>0.42899999999999999</v>
      </c>
      <c r="I127" s="4">
        <v>62</v>
      </c>
      <c r="J127" s="4">
        <v>4</v>
      </c>
      <c r="K127" s="6">
        <v>5</v>
      </c>
      <c r="M127" s="18">
        <f t="shared" si="4"/>
        <v>1</v>
      </c>
      <c r="N127" s="23">
        <v>1</v>
      </c>
      <c r="O127" s="18">
        <f t="shared" si="5"/>
        <v>1</v>
      </c>
      <c r="P127" s="18">
        <f t="shared" si="5"/>
        <v>0.5</v>
      </c>
      <c r="Q127" s="18">
        <f t="shared" si="5"/>
        <v>0.5</v>
      </c>
      <c r="R127" s="10">
        <f t="shared" si="6"/>
        <v>4</v>
      </c>
      <c r="S127" s="10" t="str">
        <f t="shared" si="7"/>
        <v>★★★★</v>
      </c>
    </row>
    <row r="128" spans="1:19" ht="20" thickBot="1" x14ac:dyDescent="0.3">
      <c r="A128" s="4" t="s">
        <v>540</v>
      </c>
      <c r="B128" s="4" t="s">
        <v>17</v>
      </c>
      <c r="C128" s="4" t="s">
        <v>471</v>
      </c>
      <c r="D128" s="4" t="s">
        <v>47</v>
      </c>
      <c r="E128" s="4">
        <v>28</v>
      </c>
      <c r="F128" s="4">
        <v>1350</v>
      </c>
      <c r="G128" s="4">
        <v>32</v>
      </c>
      <c r="H128" s="7">
        <v>0.25</v>
      </c>
      <c r="I128" s="4">
        <v>51</v>
      </c>
      <c r="J128" s="4">
        <v>11</v>
      </c>
      <c r="K128" s="6">
        <v>10</v>
      </c>
      <c r="M128" s="18">
        <f t="shared" si="4"/>
        <v>1</v>
      </c>
      <c r="N128" s="23">
        <v>0</v>
      </c>
      <c r="O128" s="18">
        <f t="shared" si="5"/>
        <v>1</v>
      </c>
      <c r="P128" s="18">
        <f t="shared" si="5"/>
        <v>1</v>
      </c>
      <c r="Q128" s="18">
        <f t="shared" si="5"/>
        <v>1</v>
      </c>
      <c r="R128" s="10">
        <f t="shared" si="6"/>
        <v>4</v>
      </c>
      <c r="S128" s="10" t="str">
        <f t="shared" si="7"/>
        <v>★★★★</v>
      </c>
    </row>
    <row r="129" spans="1:19" ht="20" thickBot="1" x14ac:dyDescent="0.3">
      <c r="A129" s="4" t="s">
        <v>644</v>
      </c>
      <c r="B129" s="4" t="s">
        <v>496</v>
      </c>
      <c r="C129" s="4" t="s">
        <v>584</v>
      </c>
      <c r="D129" s="4" t="s">
        <v>50</v>
      </c>
      <c r="E129" s="4">
        <v>31</v>
      </c>
      <c r="F129" s="4">
        <v>3249</v>
      </c>
      <c r="G129" s="4">
        <v>68</v>
      </c>
      <c r="H129" s="5">
        <v>0.35299999999999998</v>
      </c>
      <c r="I129" s="4">
        <v>60</v>
      </c>
      <c r="J129" s="4">
        <v>4</v>
      </c>
      <c r="K129" s="6">
        <v>14</v>
      </c>
      <c r="M129" s="18">
        <f t="shared" si="4"/>
        <v>1</v>
      </c>
      <c r="N129" s="23">
        <v>1</v>
      </c>
      <c r="O129" s="18">
        <f t="shared" si="5"/>
        <v>1</v>
      </c>
      <c r="P129" s="18">
        <f t="shared" si="5"/>
        <v>0.5</v>
      </c>
      <c r="Q129" s="18">
        <f t="shared" si="5"/>
        <v>1</v>
      </c>
      <c r="R129" s="10">
        <f t="shared" si="6"/>
        <v>4.5</v>
      </c>
      <c r="S129" s="10" t="str">
        <f t="shared" si="7"/>
        <v>★★★★½</v>
      </c>
    </row>
    <row r="130" spans="1:19" ht="20" thickBot="1" x14ac:dyDescent="0.3">
      <c r="A130" s="4" t="s">
        <v>541</v>
      </c>
      <c r="B130" s="4" t="s">
        <v>91</v>
      </c>
      <c r="C130" s="4" t="s">
        <v>471</v>
      </c>
      <c r="D130" s="4" t="s">
        <v>21</v>
      </c>
      <c r="E130" s="4">
        <v>22</v>
      </c>
      <c r="F130" s="4">
        <v>1287</v>
      </c>
      <c r="G130" s="4">
        <v>28</v>
      </c>
      <c r="H130" s="5">
        <v>0.39300000000000002</v>
      </c>
      <c r="I130" s="4">
        <v>33</v>
      </c>
      <c r="J130" s="4">
        <v>2</v>
      </c>
      <c r="K130" s="6">
        <v>8</v>
      </c>
      <c r="M130" s="18">
        <f t="shared" si="4"/>
        <v>1</v>
      </c>
      <c r="N130" s="23">
        <v>1</v>
      </c>
      <c r="O130" s="18">
        <f t="shared" si="5"/>
        <v>0.5</v>
      </c>
      <c r="P130" s="18">
        <f t="shared" si="5"/>
        <v>0</v>
      </c>
      <c r="Q130" s="18">
        <f t="shared" si="5"/>
        <v>1</v>
      </c>
      <c r="R130" s="10">
        <f t="shared" si="6"/>
        <v>3.5</v>
      </c>
      <c r="S130" s="10" t="str">
        <f t="shared" si="7"/>
        <v>★★★½</v>
      </c>
    </row>
    <row r="131" spans="1:19" ht="20" thickBot="1" x14ac:dyDescent="0.3">
      <c r="A131" s="4" t="s">
        <v>542</v>
      </c>
      <c r="B131" s="4" t="s">
        <v>29</v>
      </c>
      <c r="C131" s="4" t="s">
        <v>476</v>
      </c>
      <c r="D131" s="4" t="s">
        <v>30</v>
      </c>
      <c r="E131" s="4">
        <v>18</v>
      </c>
      <c r="F131" s="4">
        <v>81</v>
      </c>
      <c r="G131" s="4">
        <v>0</v>
      </c>
      <c r="H131" s="11" t="s">
        <v>129</v>
      </c>
      <c r="I131" s="4">
        <v>0</v>
      </c>
      <c r="J131" s="4">
        <v>0</v>
      </c>
      <c r="K131" s="6">
        <v>0</v>
      </c>
      <c r="M131" s="18">
        <f t="shared" ref="M131:M188" si="8">IFERROR(_xlfn.IFS(F131&gt;=G$190,1,F131&gt;=G$189,0.5),0)</f>
        <v>1</v>
      </c>
      <c r="N131" s="23">
        <v>0</v>
      </c>
      <c r="O131" s="18">
        <f t="shared" ref="O131:Q188" si="9">IFERROR(_xlfn.IFS(I131&gt;=I$190,1,I131&gt;=I$189,0.5),0)</f>
        <v>0</v>
      </c>
      <c r="P131" s="18">
        <f t="shared" si="9"/>
        <v>0</v>
      </c>
      <c r="Q131" s="18">
        <f t="shared" si="9"/>
        <v>0</v>
      </c>
      <c r="R131" s="10">
        <f t="shared" ref="R131:R188" si="10">SUM(M131:Q131)</f>
        <v>1</v>
      </c>
      <c r="S131" s="10" t="str">
        <f t="shared" ref="S131:S188" si="11">_xlfn.IFS(R131=0,"☆",R131=0.5,"½", R131=1,"★",R131 =1.5,"★½", R131 =2.5,"★★½", R131=2,"★★", R131=3,"★★★", R131 =3.5,"★★★½",R131=4,"★★★★", R131 =4.5,"★★★★½", R131=5,"★★★★★")</f>
        <v>★</v>
      </c>
    </row>
    <row r="132" spans="1:19" ht="20" thickBot="1" x14ac:dyDescent="0.3">
      <c r="A132" s="4" t="s">
        <v>543</v>
      </c>
      <c r="B132" s="4" t="s">
        <v>14</v>
      </c>
      <c r="C132" s="4" t="s">
        <v>476</v>
      </c>
      <c r="D132" s="4" t="s">
        <v>58</v>
      </c>
      <c r="E132" s="4">
        <v>24</v>
      </c>
      <c r="F132" s="4">
        <v>2916</v>
      </c>
      <c r="G132" s="4">
        <v>85</v>
      </c>
      <c r="H132" s="5">
        <v>0.247</v>
      </c>
      <c r="I132" s="4">
        <v>119</v>
      </c>
      <c r="J132" s="4">
        <v>9</v>
      </c>
      <c r="K132" s="6">
        <v>14</v>
      </c>
      <c r="M132" s="18">
        <f t="shared" si="8"/>
        <v>1</v>
      </c>
      <c r="N132" s="23">
        <v>0</v>
      </c>
      <c r="O132" s="18">
        <f t="shared" si="9"/>
        <v>1</v>
      </c>
      <c r="P132" s="18">
        <f t="shared" si="9"/>
        <v>1</v>
      </c>
      <c r="Q132" s="18">
        <f t="shared" si="9"/>
        <v>1</v>
      </c>
      <c r="R132" s="10">
        <f t="shared" si="10"/>
        <v>4</v>
      </c>
      <c r="S132" s="10" t="str">
        <f t="shared" si="11"/>
        <v>★★★★</v>
      </c>
    </row>
    <row r="133" spans="1:19" ht="20" thickBot="1" x14ac:dyDescent="0.3">
      <c r="A133" s="4" t="s">
        <v>544</v>
      </c>
      <c r="B133" s="4" t="s">
        <v>29</v>
      </c>
      <c r="C133" s="4" t="s">
        <v>476</v>
      </c>
      <c r="D133" s="4" t="s">
        <v>47</v>
      </c>
      <c r="E133" s="4">
        <v>23</v>
      </c>
      <c r="F133" s="4">
        <v>1233</v>
      </c>
      <c r="G133" s="4">
        <v>22</v>
      </c>
      <c r="H133" s="5">
        <v>0.54500000000000004</v>
      </c>
      <c r="I133" s="4">
        <v>29</v>
      </c>
      <c r="J133" s="4">
        <v>3</v>
      </c>
      <c r="K133" s="6">
        <v>6</v>
      </c>
      <c r="M133" s="18">
        <f t="shared" si="8"/>
        <v>1</v>
      </c>
      <c r="N133" s="23">
        <v>0</v>
      </c>
      <c r="O133" s="18">
        <f t="shared" si="9"/>
        <v>0.5</v>
      </c>
      <c r="P133" s="18">
        <f t="shared" si="9"/>
        <v>0.5</v>
      </c>
      <c r="Q133" s="18">
        <f t="shared" si="9"/>
        <v>1</v>
      </c>
      <c r="R133" s="10">
        <f t="shared" si="10"/>
        <v>3</v>
      </c>
      <c r="S133" s="10" t="str">
        <f t="shared" si="11"/>
        <v>★★★</v>
      </c>
    </row>
    <row r="134" spans="1:19" ht="20" thickBot="1" x14ac:dyDescent="0.3">
      <c r="A134" s="4" t="s">
        <v>545</v>
      </c>
      <c r="B134" s="4" t="s">
        <v>546</v>
      </c>
      <c r="C134" s="4" t="s">
        <v>476</v>
      </c>
      <c r="D134" s="4" t="s">
        <v>50</v>
      </c>
      <c r="E134" s="4">
        <v>25</v>
      </c>
      <c r="F134" s="4">
        <v>2232</v>
      </c>
      <c r="G134" s="4">
        <v>45</v>
      </c>
      <c r="H134" s="5">
        <v>0.35599999999999998</v>
      </c>
      <c r="I134" s="4">
        <v>56</v>
      </c>
      <c r="J134" s="4">
        <v>4</v>
      </c>
      <c r="K134" s="6">
        <v>3</v>
      </c>
      <c r="M134" s="18">
        <f t="shared" si="8"/>
        <v>1</v>
      </c>
      <c r="N134" s="23">
        <v>1</v>
      </c>
      <c r="O134" s="18">
        <f t="shared" si="9"/>
        <v>1</v>
      </c>
      <c r="P134" s="18">
        <f t="shared" si="9"/>
        <v>0.5</v>
      </c>
      <c r="Q134" s="18">
        <f t="shared" si="9"/>
        <v>0</v>
      </c>
      <c r="R134" s="10">
        <f t="shared" si="10"/>
        <v>3.5</v>
      </c>
      <c r="S134" s="10" t="str">
        <f t="shared" si="11"/>
        <v>★★★½</v>
      </c>
    </row>
    <row r="135" spans="1:19" ht="20" thickBot="1" x14ac:dyDescent="0.3">
      <c r="A135" s="4" t="s">
        <v>547</v>
      </c>
      <c r="B135" s="4" t="s">
        <v>29</v>
      </c>
      <c r="C135" s="4" t="s">
        <v>471</v>
      </c>
      <c r="D135" s="4" t="s">
        <v>33</v>
      </c>
      <c r="E135" s="4">
        <v>27</v>
      </c>
      <c r="F135" s="4">
        <v>1835.9999999999998</v>
      </c>
      <c r="G135" s="4">
        <v>25</v>
      </c>
      <c r="H135" s="7">
        <v>0.36</v>
      </c>
      <c r="I135" s="4">
        <v>66</v>
      </c>
      <c r="J135" s="4">
        <v>8</v>
      </c>
      <c r="K135" s="6">
        <v>6</v>
      </c>
      <c r="M135" s="18">
        <f t="shared" si="8"/>
        <v>1</v>
      </c>
      <c r="N135" s="23">
        <v>1</v>
      </c>
      <c r="O135" s="18">
        <f t="shared" si="9"/>
        <v>1</v>
      </c>
      <c r="P135" s="18">
        <f t="shared" si="9"/>
        <v>1</v>
      </c>
      <c r="Q135" s="18">
        <f t="shared" si="9"/>
        <v>1</v>
      </c>
      <c r="R135" s="10">
        <f t="shared" si="10"/>
        <v>5</v>
      </c>
      <c r="S135" s="10" t="str">
        <f t="shared" si="11"/>
        <v>★★★★★</v>
      </c>
    </row>
    <row r="136" spans="1:19" ht="20" thickBot="1" x14ac:dyDescent="0.3">
      <c r="A136" s="4" t="s">
        <v>548</v>
      </c>
      <c r="B136" s="4" t="s">
        <v>29</v>
      </c>
      <c r="C136" s="4" t="s">
        <v>471</v>
      </c>
      <c r="D136" s="4" t="s">
        <v>85</v>
      </c>
      <c r="E136" s="4">
        <v>20</v>
      </c>
      <c r="F136" s="4">
        <v>27</v>
      </c>
      <c r="G136" s="4">
        <v>1</v>
      </c>
      <c r="H136" s="7">
        <v>0</v>
      </c>
      <c r="I136" s="4">
        <v>1</v>
      </c>
      <c r="J136" s="4">
        <v>0</v>
      </c>
      <c r="K136" s="6">
        <v>0</v>
      </c>
      <c r="M136" s="18">
        <f t="shared" si="8"/>
        <v>0.5</v>
      </c>
      <c r="N136" s="23">
        <v>0</v>
      </c>
      <c r="O136" s="18">
        <f t="shared" si="9"/>
        <v>0</v>
      </c>
      <c r="P136" s="18">
        <f t="shared" si="9"/>
        <v>0</v>
      </c>
      <c r="Q136" s="18">
        <f t="shared" si="9"/>
        <v>0</v>
      </c>
      <c r="R136" s="10">
        <f t="shared" si="10"/>
        <v>0.5</v>
      </c>
      <c r="S136" s="10" t="str">
        <f t="shared" si="11"/>
        <v>½</v>
      </c>
    </row>
    <row r="137" spans="1:19" ht="20" thickBot="1" x14ac:dyDescent="0.3">
      <c r="A137" s="4" t="s">
        <v>549</v>
      </c>
      <c r="B137" s="4" t="s">
        <v>14</v>
      </c>
      <c r="C137" s="4" t="s">
        <v>476</v>
      </c>
      <c r="D137" s="4" t="s">
        <v>27</v>
      </c>
      <c r="E137" s="4">
        <v>24</v>
      </c>
      <c r="F137" s="4">
        <v>2520</v>
      </c>
      <c r="G137" s="4">
        <v>70</v>
      </c>
      <c r="H137" s="5">
        <v>0.28599999999999998</v>
      </c>
      <c r="I137" s="4">
        <v>62</v>
      </c>
      <c r="J137" s="4">
        <v>8</v>
      </c>
      <c r="K137" s="6">
        <v>15</v>
      </c>
      <c r="M137" s="18">
        <f t="shared" si="8"/>
        <v>1</v>
      </c>
      <c r="N137" s="23">
        <v>0</v>
      </c>
      <c r="O137" s="18">
        <f t="shared" si="9"/>
        <v>1</v>
      </c>
      <c r="P137" s="18">
        <f t="shared" si="9"/>
        <v>1</v>
      </c>
      <c r="Q137" s="18">
        <f t="shared" si="9"/>
        <v>1</v>
      </c>
      <c r="R137" s="10">
        <f t="shared" si="10"/>
        <v>4</v>
      </c>
      <c r="S137" s="10" t="str">
        <f t="shared" si="11"/>
        <v>★★★★</v>
      </c>
    </row>
    <row r="138" spans="1:19" ht="20" thickBot="1" x14ac:dyDescent="0.3">
      <c r="A138" s="4" t="s">
        <v>550</v>
      </c>
      <c r="B138" s="4" t="s">
        <v>52</v>
      </c>
      <c r="C138" s="4" t="s">
        <v>471</v>
      </c>
      <c r="D138" s="4" t="s">
        <v>58</v>
      </c>
      <c r="E138" s="4">
        <v>22</v>
      </c>
      <c r="F138" s="4">
        <v>990</v>
      </c>
      <c r="G138" s="4">
        <v>30</v>
      </c>
      <c r="H138" s="7">
        <v>0.4</v>
      </c>
      <c r="I138" s="4">
        <v>28</v>
      </c>
      <c r="J138" s="4">
        <v>1</v>
      </c>
      <c r="K138" s="6">
        <v>2</v>
      </c>
      <c r="M138" s="18">
        <f t="shared" si="8"/>
        <v>1</v>
      </c>
      <c r="N138" s="23">
        <v>1</v>
      </c>
      <c r="O138" s="18">
        <f t="shared" si="9"/>
        <v>0.5</v>
      </c>
      <c r="P138" s="18">
        <f t="shared" si="9"/>
        <v>0</v>
      </c>
      <c r="Q138" s="18">
        <f t="shared" si="9"/>
        <v>0</v>
      </c>
      <c r="R138" s="10">
        <f t="shared" si="10"/>
        <v>2.5</v>
      </c>
      <c r="S138" s="10" t="str">
        <f t="shared" si="11"/>
        <v>★★½</v>
      </c>
    </row>
    <row r="139" spans="1:19" ht="20" thickBot="1" x14ac:dyDescent="0.3">
      <c r="A139" s="4" t="s">
        <v>551</v>
      </c>
      <c r="B139" s="4" t="s">
        <v>20</v>
      </c>
      <c r="C139" s="4" t="s">
        <v>471</v>
      </c>
      <c r="D139" s="4" t="s">
        <v>58</v>
      </c>
      <c r="E139" s="4">
        <v>30</v>
      </c>
      <c r="F139" s="4">
        <v>2268</v>
      </c>
      <c r="G139" s="4">
        <v>48</v>
      </c>
      <c r="H139" s="5">
        <v>0.35399999999999998</v>
      </c>
      <c r="I139" s="4">
        <v>73</v>
      </c>
      <c r="J139" s="4">
        <v>4</v>
      </c>
      <c r="K139" s="6">
        <v>7</v>
      </c>
      <c r="M139" s="18">
        <f t="shared" si="8"/>
        <v>1</v>
      </c>
      <c r="N139" s="23">
        <v>1</v>
      </c>
      <c r="O139" s="18">
        <f t="shared" si="9"/>
        <v>1</v>
      </c>
      <c r="P139" s="18">
        <f t="shared" si="9"/>
        <v>0.5</v>
      </c>
      <c r="Q139" s="18">
        <f t="shared" si="9"/>
        <v>1</v>
      </c>
      <c r="R139" s="10">
        <f t="shared" si="10"/>
        <v>4.5</v>
      </c>
      <c r="S139" s="10" t="str">
        <f t="shared" si="11"/>
        <v>★★★★½</v>
      </c>
    </row>
    <row r="140" spans="1:19" ht="20" thickBot="1" x14ac:dyDescent="0.3">
      <c r="A140" s="4" t="s">
        <v>645</v>
      </c>
      <c r="B140" s="4" t="s">
        <v>29</v>
      </c>
      <c r="C140" s="4" t="s">
        <v>584</v>
      </c>
      <c r="D140" s="4" t="s">
        <v>53</v>
      </c>
      <c r="E140" s="4">
        <v>32</v>
      </c>
      <c r="F140" s="4">
        <v>1386</v>
      </c>
      <c r="G140" s="4">
        <v>41</v>
      </c>
      <c r="H140" s="5">
        <v>0.26800000000000002</v>
      </c>
      <c r="I140" s="4">
        <v>24</v>
      </c>
      <c r="J140" s="4">
        <v>3</v>
      </c>
      <c r="K140" s="6">
        <v>4</v>
      </c>
      <c r="M140" s="18">
        <f t="shared" si="8"/>
        <v>1</v>
      </c>
      <c r="N140" s="23">
        <v>0</v>
      </c>
      <c r="O140" s="18">
        <f t="shared" si="9"/>
        <v>0</v>
      </c>
      <c r="P140" s="18">
        <f t="shared" si="9"/>
        <v>0.5</v>
      </c>
      <c r="Q140" s="18">
        <f t="shared" si="9"/>
        <v>0.5</v>
      </c>
      <c r="R140" s="10">
        <f t="shared" si="10"/>
        <v>2</v>
      </c>
      <c r="S140" s="10" t="str">
        <f t="shared" si="11"/>
        <v>★★</v>
      </c>
    </row>
    <row r="141" spans="1:19" ht="20" thickBot="1" x14ac:dyDescent="0.3">
      <c r="A141" s="4" t="s">
        <v>646</v>
      </c>
      <c r="B141" s="4" t="s">
        <v>83</v>
      </c>
      <c r="C141" s="4" t="s">
        <v>584</v>
      </c>
      <c r="D141" s="4" t="s">
        <v>47</v>
      </c>
      <c r="E141" s="4">
        <v>36</v>
      </c>
      <c r="F141" s="4">
        <v>2457</v>
      </c>
      <c r="G141" s="4">
        <v>108</v>
      </c>
      <c r="H141" s="5">
        <v>0.36099999999999999</v>
      </c>
      <c r="I141" s="4">
        <v>76</v>
      </c>
      <c r="J141" s="4">
        <v>9</v>
      </c>
      <c r="K141" s="6">
        <v>21</v>
      </c>
      <c r="M141" s="18">
        <f t="shared" si="8"/>
        <v>1</v>
      </c>
      <c r="N141" s="23">
        <v>1</v>
      </c>
      <c r="O141" s="18">
        <f t="shared" si="9"/>
        <v>1</v>
      </c>
      <c r="P141" s="18">
        <f t="shared" si="9"/>
        <v>1</v>
      </c>
      <c r="Q141" s="18">
        <f t="shared" si="9"/>
        <v>1</v>
      </c>
      <c r="R141" s="10">
        <f t="shared" si="10"/>
        <v>5</v>
      </c>
      <c r="S141" s="10" t="str">
        <f t="shared" si="11"/>
        <v>★★★★★</v>
      </c>
    </row>
    <row r="142" spans="1:19" ht="20" thickBot="1" x14ac:dyDescent="0.3">
      <c r="A142" s="4" t="s">
        <v>647</v>
      </c>
      <c r="B142" s="4" t="s">
        <v>648</v>
      </c>
      <c r="C142" s="4" t="s">
        <v>584</v>
      </c>
      <c r="D142" s="4" t="s">
        <v>27</v>
      </c>
      <c r="E142" s="4">
        <v>31</v>
      </c>
      <c r="F142" s="4">
        <v>792.00000000000011</v>
      </c>
      <c r="G142" s="4">
        <v>21</v>
      </c>
      <c r="H142" s="5">
        <v>0.28599999999999998</v>
      </c>
      <c r="I142" s="4">
        <v>17</v>
      </c>
      <c r="J142" s="4">
        <v>1</v>
      </c>
      <c r="K142" s="6">
        <v>2</v>
      </c>
      <c r="M142" s="18">
        <f t="shared" si="8"/>
        <v>1</v>
      </c>
      <c r="N142" s="23">
        <v>0</v>
      </c>
      <c r="O142" s="18">
        <f t="shared" si="9"/>
        <v>0</v>
      </c>
      <c r="P142" s="18">
        <f t="shared" si="9"/>
        <v>0</v>
      </c>
      <c r="Q142" s="18">
        <f t="shared" si="9"/>
        <v>0</v>
      </c>
      <c r="R142" s="10">
        <f t="shared" si="10"/>
        <v>1</v>
      </c>
      <c r="S142" s="10" t="str">
        <f t="shared" si="11"/>
        <v>★</v>
      </c>
    </row>
    <row r="143" spans="1:19" ht="20" thickBot="1" x14ac:dyDescent="0.3">
      <c r="A143" s="4" t="s">
        <v>552</v>
      </c>
      <c r="B143" s="4" t="s">
        <v>29</v>
      </c>
      <c r="C143" s="4" t="s">
        <v>476</v>
      </c>
      <c r="D143" s="4" t="s">
        <v>50</v>
      </c>
      <c r="E143" s="4">
        <v>18</v>
      </c>
      <c r="F143" s="4">
        <v>225</v>
      </c>
      <c r="G143" s="4">
        <v>3</v>
      </c>
      <c r="H143" s="5">
        <v>0.66700000000000004</v>
      </c>
      <c r="I143" s="4">
        <v>6</v>
      </c>
      <c r="J143" s="4">
        <v>1</v>
      </c>
      <c r="K143" s="6">
        <v>1</v>
      </c>
      <c r="M143" s="18">
        <f t="shared" si="8"/>
        <v>1</v>
      </c>
      <c r="N143" s="23">
        <v>0</v>
      </c>
      <c r="O143" s="18">
        <f t="shared" si="9"/>
        <v>0</v>
      </c>
      <c r="P143" s="18">
        <f t="shared" si="9"/>
        <v>0</v>
      </c>
      <c r="Q143" s="18">
        <f t="shared" si="9"/>
        <v>0</v>
      </c>
      <c r="R143" s="10">
        <f t="shared" si="10"/>
        <v>1</v>
      </c>
      <c r="S143" s="10" t="str">
        <f t="shared" si="11"/>
        <v>★</v>
      </c>
    </row>
    <row r="144" spans="1:19" ht="20" thickBot="1" x14ac:dyDescent="0.3">
      <c r="A144" s="4" t="s">
        <v>553</v>
      </c>
      <c r="B144" s="4" t="s">
        <v>17</v>
      </c>
      <c r="C144" s="4" t="s">
        <v>476</v>
      </c>
      <c r="D144" s="4" t="s">
        <v>35</v>
      </c>
      <c r="E144" s="4">
        <v>24</v>
      </c>
      <c r="F144" s="4">
        <v>2808</v>
      </c>
      <c r="G144" s="4">
        <v>64</v>
      </c>
      <c r="H144" s="5">
        <v>0.40600000000000003</v>
      </c>
      <c r="I144" s="4">
        <v>114</v>
      </c>
      <c r="J144" s="4">
        <v>9</v>
      </c>
      <c r="K144" s="6">
        <v>10</v>
      </c>
      <c r="M144" s="18">
        <f t="shared" si="8"/>
        <v>1</v>
      </c>
      <c r="N144" s="23">
        <v>1</v>
      </c>
      <c r="O144" s="18">
        <f t="shared" si="9"/>
        <v>1</v>
      </c>
      <c r="P144" s="18">
        <f t="shared" si="9"/>
        <v>1</v>
      </c>
      <c r="Q144" s="18">
        <f t="shared" si="9"/>
        <v>1</v>
      </c>
      <c r="R144" s="10">
        <f t="shared" si="10"/>
        <v>5</v>
      </c>
      <c r="S144" s="10" t="str">
        <f t="shared" si="11"/>
        <v>★★★★★</v>
      </c>
    </row>
    <row r="145" spans="1:19" ht="20" thickBot="1" x14ac:dyDescent="0.3">
      <c r="A145" s="4" t="s">
        <v>554</v>
      </c>
      <c r="B145" s="4" t="s">
        <v>29</v>
      </c>
      <c r="C145" s="4" t="s">
        <v>476</v>
      </c>
      <c r="D145" s="4" t="s">
        <v>63</v>
      </c>
      <c r="E145" s="4">
        <v>19</v>
      </c>
      <c r="F145" s="4">
        <v>2979</v>
      </c>
      <c r="G145" s="4">
        <v>95</v>
      </c>
      <c r="H145" s="5">
        <v>0.30499999999999999</v>
      </c>
      <c r="I145" s="4">
        <v>142</v>
      </c>
      <c r="J145" s="4">
        <v>16</v>
      </c>
      <c r="K145" s="6">
        <v>18</v>
      </c>
      <c r="M145" s="18">
        <f t="shared" si="8"/>
        <v>1</v>
      </c>
      <c r="N145" s="23">
        <v>0</v>
      </c>
      <c r="O145" s="18">
        <f t="shared" si="9"/>
        <v>1</v>
      </c>
      <c r="P145" s="18">
        <f t="shared" si="9"/>
        <v>1</v>
      </c>
      <c r="Q145" s="18">
        <f t="shared" si="9"/>
        <v>1</v>
      </c>
      <c r="R145" s="10">
        <f t="shared" si="10"/>
        <v>4</v>
      </c>
      <c r="S145" s="10" t="str">
        <f t="shared" si="11"/>
        <v>★★★★</v>
      </c>
    </row>
    <row r="146" spans="1:19" ht="20" thickBot="1" x14ac:dyDescent="0.3">
      <c r="A146" s="4" t="s">
        <v>649</v>
      </c>
      <c r="B146" s="4" t="s">
        <v>215</v>
      </c>
      <c r="C146" s="4" t="s">
        <v>584</v>
      </c>
      <c r="D146" s="4" t="s">
        <v>15</v>
      </c>
      <c r="E146" s="4">
        <v>29</v>
      </c>
      <c r="F146" s="4">
        <v>2763</v>
      </c>
      <c r="G146" s="4">
        <v>134</v>
      </c>
      <c r="H146" s="5">
        <v>0.36599999999999999</v>
      </c>
      <c r="I146" s="4">
        <v>133</v>
      </c>
      <c r="J146" s="4">
        <v>25</v>
      </c>
      <c r="K146" s="6">
        <v>36</v>
      </c>
      <c r="M146" s="18">
        <f t="shared" si="8"/>
        <v>1</v>
      </c>
      <c r="N146" s="23">
        <v>1</v>
      </c>
      <c r="O146" s="18">
        <f t="shared" si="9"/>
        <v>1</v>
      </c>
      <c r="P146" s="18">
        <f t="shared" si="9"/>
        <v>1</v>
      </c>
      <c r="Q146" s="18">
        <f t="shared" si="9"/>
        <v>1</v>
      </c>
      <c r="R146" s="10">
        <f t="shared" si="10"/>
        <v>5</v>
      </c>
      <c r="S146" s="10" t="str">
        <f t="shared" si="11"/>
        <v>★★★★★</v>
      </c>
    </row>
    <row r="147" spans="1:19" ht="20" thickBot="1" x14ac:dyDescent="0.3">
      <c r="A147" s="4" t="s">
        <v>555</v>
      </c>
      <c r="B147" s="4" t="s">
        <v>29</v>
      </c>
      <c r="C147" s="4" t="s">
        <v>476</v>
      </c>
      <c r="D147" s="4" t="s">
        <v>47</v>
      </c>
      <c r="E147" s="4">
        <v>21</v>
      </c>
      <c r="F147" s="4">
        <v>1899.0000000000002</v>
      </c>
      <c r="G147" s="4">
        <v>26</v>
      </c>
      <c r="H147" s="5">
        <v>0.34599999999999997</v>
      </c>
      <c r="I147" s="4">
        <v>82</v>
      </c>
      <c r="J147" s="4">
        <v>8</v>
      </c>
      <c r="K147" s="6">
        <v>6</v>
      </c>
      <c r="M147" s="18">
        <f t="shared" si="8"/>
        <v>1</v>
      </c>
      <c r="N147" s="23">
        <v>1</v>
      </c>
      <c r="O147" s="18">
        <f t="shared" si="9"/>
        <v>1</v>
      </c>
      <c r="P147" s="18">
        <f t="shared" si="9"/>
        <v>1</v>
      </c>
      <c r="Q147" s="18">
        <f t="shared" si="9"/>
        <v>1</v>
      </c>
      <c r="R147" s="10">
        <f t="shared" si="10"/>
        <v>5</v>
      </c>
      <c r="S147" s="10" t="str">
        <f t="shared" si="11"/>
        <v>★★★★★</v>
      </c>
    </row>
    <row r="148" spans="1:19" ht="20" thickBot="1" x14ac:dyDescent="0.3">
      <c r="A148" s="4" t="s">
        <v>556</v>
      </c>
      <c r="B148" s="4" t="s">
        <v>91</v>
      </c>
      <c r="C148" s="4" t="s">
        <v>476</v>
      </c>
      <c r="D148" s="4" t="s">
        <v>50</v>
      </c>
      <c r="E148" s="4">
        <v>21</v>
      </c>
      <c r="F148" s="4">
        <v>1575</v>
      </c>
      <c r="G148" s="4">
        <v>26</v>
      </c>
      <c r="H148" s="5">
        <v>7.6999999999999999E-2</v>
      </c>
      <c r="I148" s="4">
        <v>26</v>
      </c>
      <c r="J148" s="4">
        <v>2</v>
      </c>
      <c r="K148" s="6">
        <v>3</v>
      </c>
      <c r="M148" s="18">
        <f t="shared" si="8"/>
        <v>1</v>
      </c>
      <c r="N148" s="23">
        <v>0</v>
      </c>
      <c r="O148" s="18">
        <f t="shared" si="9"/>
        <v>0.5</v>
      </c>
      <c r="P148" s="18">
        <f t="shared" si="9"/>
        <v>0</v>
      </c>
      <c r="Q148" s="18">
        <f t="shared" si="9"/>
        <v>0</v>
      </c>
      <c r="R148" s="10">
        <f t="shared" si="10"/>
        <v>1.5</v>
      </c>
      <c r="S148" s="10" t="str">
        <f t="shared" si="11"/>
        <v>★½</v>
      </c>
    </row>
    <row r="149" spans="1:19" ht="20" thickBot="1" x14ac:dyDescent="0.3">
      <c r="A149" s="4" t="s">
        <v>557</v>
      </c>
      <c r="B149" s="4" t="s">
        <v>156</v>
      </c>
      <c r="C149" s="4" t="s">
        <v>476</v>
      </c>
      <c r="D149" s="4" t="s">
        <v>85</v>
      </c>
      <c r="E149" s="4">
        <v>19</v>
      </c>
      <c r="F149" s="4">
        <v>45</v>
      </c>
      <c r="G149" s="4">
        <v>0</v>
      </c>
      <c r="H149" s="11" t="s">
        <v>129</v>
      </c>
      <c r="I149" s="4">
        <v>0</v>
      </c>
      <c r="J149" s="4">
        <v>0</v>
      </c>
      <c r="K149" s="6">
        <v>0</v>
      </c>
      <c r="M149" s="18">
        <f t="shared" si="8"/>
        <v>1</v>
      </c>
      <c r="N149" s="23">
        <v>0</v>
      </c>
      <c r="O149" s="18">
        <f t="shared" si="9"/>
        <v>0</v>
      </c>
      <c r="P149" s="18">
        <f t="shared" si="9"/>
        <v>0</v>
      </c>
      <c r="Q149" s="18">
        <f t="shared" si="9"/>
        <v>0</v>
      </c>
      <c r="R149" s="10">
        <f t="shared" si="10"/>
        <v>1</v>
      </c>
      <c r="S149" s="10" t="str">
        <f t="shared" si="11"/>
        <v>★</v>
      </c>
    </row>
    <row r="150" spans="1:19" ht="20" thickBot="1" x14ac:dyDescent="0.3">
      <c r="A150" s="4" t="s">
        <v>558</v>
      </c>
      <c r="B150" s="4" t="s">
        <v>72</v>
      </c>
      <c r="C150" s="4" t="s">
        <v>476</v>
      </c>
      <c r="D150" s="4" t="s">
        <v>24</v>
      </c>
      <c r="E150" s="4">
        <v>23</v>
      </c>
      <c r="F150" s="4">
        <v>1863</v>
      </c>
      <c r="G150" s="4">
        <v>38</v>
      </c>
      <c r="H150" s="5">
        <v>0.39500000000000002</v>
      </c>
      <c r="I150" s="4">
        <v>44</v>
      </c>
      <c r="J150" s="4">
        <v>3</v>
      </c>
      <c r="K150" s="6">
        <v>7</v>
      </c>
      <c r="M150" s="18">
        <f t="shared" si="8"/>
        <v>1</v>
      </c>
      <c r="N150" s="23">
        <v>1</v>
      </c>
      <c r="O150" s="18">
        <f t="shared" si="9"/>
        <v>1</v>
      </c>
      <c r="P150" s="18">
        <f t="shared" si="9"/>
        <v>0.5</v>
      </c>
      <c r="Q150" s="18">
        <f t="shared" si="9"/>
        <v>1</v>
      </c>
      <c r="R150" s="10">
        <f t="shared" si="10"/>
        <v>4.5</v>
      </c>
      <c r="S150" s="10" t="str">
        <f t="shared" si="11"/>
        <v>★★★★½</v>
      </c>
    </row>
    <row r="151" spans="1:19" ht="20" thickBot="1" x14ac:dyDescent="0.3">
      <c r="A151" s="4" t="s">
        <v>559</v>
      </c>
      <c r="B151" s="4" t="s">
        <v>124</v>
      </c>
      <c r="C151" s="4" t="s">
        <v>471</v>
      </c>
      <c r="D151" s="4" t="s">
        <v>30</v>
      </c>
      <c r="E151" s="4">
        <v>28</v>
      </c>
      <c r="F151" s="4">
        <v>1854.0000000000002</v>
      </c>
      <c r="G151" s="4">
        <v>33</v>
      </c>
      <c r="H151" s="5">
        <v>0.27300000000000002</v>
      </c>
      <c r="I151" s="4">
        <v>41</v>
      </c>
      <c r="J151" s="4">
        <v>5</v>
      </c>
      <c r="K151" s="6">
        <v>5</v>
      </c>
      <c r="M151" s="18">
        <f t="shared" si="8"/>
        <v>1</v>
      </c>
      <c r="N151" s="23">
        <v>0</v>
      </c>
      <c r="O151" s="18">
        <f t="shared" si="9"/>
        <v>1</v>
      </c>
      <c r="P151" s="18">
        <f t="shared" si="9"/>
        <v>1</v>
      </c>
      <c r="Q151" s="18">
        <f t="shared" si="9"/>
        <v>0.5</v>
      </c>
      <c r="R151" s="10">
        <f t="shared" si="10"/>
        <v>3.5</v>
      </c>
      <c r="S151" s="10" t="str">
        <f t="shared" si="11"/>
        <v>★★★½</v>
      </c>
    </row>
    <row r="152" spans="1:19" ht="20" thickBot="1" x14ac:dyDescent="0.3">
      <c r="A152" s="4" t="s">
        <v>560</v>
      </c>
      <c r="B152" s="4" t="s">
        <v>75</v>
      </c>
      <c r="C152" s="4" t="s">
        <v>471</v>
      </c>
      <c r="D152" s="4" t="s">
        <v>24</v>
      </c>
      <c r="E152" s="4">
        <v>27</v>
      </c>
      <c r="F152" s="4">
        <v>855</v>
      </c>
      <c r="G152" s="4">
        <v>3</v>
      </c>
      <c r="H152" s="5">
        <v>0.33300000000000002</v>
      </c>
      <c r="I152" s="4">
        <v>20</v>
      </c>
      <c r="J152" s="4">
        <v>0</v>
      </c>
      <c r="K152" s="6">
        <v>0</v>
      </c>
      <c r="M152" s="18">
        <f t="shared" si="8"/>
        <v>1</v>
      </c>
      <c r="N152" s="23">
        <v>0</v>
      </c>
      <c r="O152" s="18">
        <f t="shared" si="9"/>
        <v>0</v>
      </c>
      <c r="P152" s="18">
        <f t="shared" si="9"/>
        <v>0</v>
      </c>
      <c r="Q152" s="18">
        <f t="shared" si="9"/>
        <v>0</v>
      </c>
      <c r="R152" s="10">
        <f t="shared" si="10"/>
        <v>1</v>
      </c>
      <c r="S152" s="10" t="str">
        <f t="shared" si="11"/>
        <v>★</v>
      </c>
    </row>
    <row r="153" spans="1:19" ht="20" thickBot="1" x14ac:dyDescent="0.3">
      <c r="A153" s="4" t="s">
        <v>650</v>
      </c>
      <c r="B153" s="4" t="s">
        <v>29</v>
      </c>
      <c r="C153" s="4" t="s">
        <v>584</v>
      </c>
      <c r="D153" s="4" t="s">
        <v>47</v>
      </c>
      <c r="E153" s="4">
        <v>17</v>
      </c>
      <c r="F153" s="4">
        <v>18</v>
      </c>
      <c r="G153" s="4">
        <v>0</v>
      </c>
      <c r="H153" s="11" t="s">
        <v>129</v>
      </c>
      <c r="I153" s="4">
        <v>0</v>
      </c>
      <c r="J153" s="4">
        <v>0</v>
      </c>
      <c r="K153" s="6">
        <v>0</v>
      </c>
      <c r="M153" s="18">
        <f t="shared" si="8"/>
        <v>0</v>
      </c>
      <c r="N153" s="23">
        <v>0</v>
      </c>
      <c r="O153" s="18">
        <f t="shared" si="9"/>
        <v>0</v>
      </c>
      <c r="P153" s="18">
        <f t="shared" si="9"/>
        <v>0</v>
      </c>
      <c r="Q153" s="18">
        <f t="shared" si="9"/>
        <v>0</v>
      </c>
      <c r="R153" s="10">
        <f t="shared" si="10"/>
        <v>0</v>
      </c>
      <c r="S153" s="10" t="str">
        <f t="shared" si="11"/>
        <v>☆</v>
      </c>
    </row>
    <row r="154" spans="1:19" ht="20" thickBot="1" x14ac:dyDescent="0.3">
      <c r="A154" s="4" t="s">
        <v>561</v>
      </c>
      <c r="B154" s="4" t="s">
        <v>83</v>
      </c>
      <c r="C154" s="4" t="s">
        <v>471</v>
      </c>
      <c r="D154" s="4" t="s">
        <v>39</v>
      </c>
      <c r="E154" s="4">
        <v>26</v>
      </c>
      <c r="F154" s="4">
        <v>2853</v>
      </c>
      <c r="G154" s="4">
        <v>47</v>
      </c>
      <c r="H154" s="5">
        <v>0.40400000000000003</v>
      </c>
      <c r="I154" s="4">
        <v>127</v>
      </c>
      <c r="J154" s="4">
        <v>13</v>
      </c>
      <c r="K154" s="6">
        <v>12</v>
      </c>
      <c r="M154" s="18">
        <f t="shared" si="8"/>
        <v>1</v>
      </c>
      <c r="N154" s="23">
        <v>1</v>
      </c>
      <c r="O154" s="18">
        <f t="shared" si="9"/>
        <v>1</v>
      </c>
      <c r="P154" s="18">
        <f t="shared" si="9"/>
        <v>1</v>
      </c>
      <c r="Q154" s="18">
        <f t="shared" si="9"/>
        <v>1</v>
      </c>
      <c r="R154" s="10">
        <f t="shared" si="10"/>
        <v>5</v>
      </c>
      <c r="S154" s="10" t="str">
        <f t="shared" si="11"/>
        <v>★★★★★</v>
      </c>
    </row>
    <row r="155" spans="1:19" ht="20" thickBot="1" x14ac:dyDescent="0.3">
      <c r="A155" s="4" t="s">
        <v>651</v>
      </c>
      <c r="B155" s="4" t="s">
        <v>83</v>
      </c>
      <c r="C155" s="4" t="s">
        <v>584</v>
      </c>
      <c r="D155" s="4" t="s">
        <v>81</v>
      </c>
      <c r="E155" s="4">
        <v>19</v>
      </c>
      <c r="F155" s="4">
        <v>576</v>
      </c>
      <c r="G155" s="4">
        <v>19</v>
      </c>
      <c r="H155" s="5">
        <v>0.26300000000000001</v>
      </c>
      <c r="I155" s="4">
        <v>16</v>
      </c>
      <c r="J155" s="4">
        <v>1</v>
      </c>
      <c r="K155" s="6">
        <v>0</v>
      </c>
      <c r="M155" s="18">
        <f t="shared" si="8"/>
        <v>1</v>
      </c>
      <c r="N155" s="23">
        <v>0</v>
      </c>
      <c r="O155" s="18">
        <f t="shared" si="9"/>
        <v>0</v>
      </c>
      <c r="P155" s="18">
        <f t="shared" si="9"/>
        <v>0</v>
      </c>
      <c r="Q155" s="18">
        <f t="shared" si="9"/>
        <v>0</v>
      </c>
      <c r="R155" s="10">
        <f t="shared" si="10"/>
        <v>1</v>
      </c>
      <c r="S155" s="10" t="str">
        <f t="shared" si="11"/>
        <v>★</v>
      </c>
    </row>
    <row r="156" spans="1:19" ht="20" thickBot="1" x14ac:dyDescent="0.3">
      <c r="A156" s="4" t="s">
        <v>652</v>
      </c>
      <c r="B156" s="4" t="s">
        <v>29</v>
      </c>
      <c r="C156" s="4" t="s">
        <v>584</v>
      </c>
      <c r="D156" s="4" t="s">
        <v>27</v>
      </c>
      <c r="E156" s="4">
        <v>20</v>
      </c>
      <c r="F156" s="4">
        <v>62.999999999999993</v>
      </c>
      <c r="G156" s="4">
        <v>0</v>
      </c>
      <c r="H156" s="11" t="s">
        <v>129</v>
      </c>
      <c r="I156" s="4">
        <v>1</v>
      </c>
      <c r="J156" s="4">
        <v>0</v>
      </c>
      <c r="K156" s="6">
        <v>0</v>
      </c>
      <c r="M156" s="18">
        <f t="shared" si="8"/>
        <v>1</v>
      </c>
      <c r="N156" s="23">
        <v>0</v>
      </c>
      <c r="O156" s="18">
        <f t="shared" si="9"/>
        <v>0</v>
      </c>
      <c r="P156" s="18">
        <f t="shared" si="9"/>
        <v>0</v>
      </c>
      <c r="Q156" s="18">
        <f t="shared" si="9"/>
        <v>0</v>
      </c>
      <c r="R156" s="10">
        <f t="shared" si="10"/>
        <v>1</v>
      </c>
      <c r="S156" s="10" t="str">
        <f t="shared" si="11"/>
        <v>★</v>
      </c>
    </row>
    <row r="157" spans="1:19" ht="20" thickBot="1" x14ac:dyDescent="0.3">
      <c r="A157" s="4" t="s">
        <v>562</v>
      </c>
      <c r="B157" s="4" t="s">
        <v>55</v>
      </c>
      <c r="C157" s="4" t="s">
        <v>471</v>
      </c>
      <c r="D157" s="4" t="s">
        <v>33</v>
      </c>
      <c r="E157" s="4">
        <v>21</v>
      </c>
      <c r="F157" s="4">
        <v>135</v>
      </c>
      <c r="G157" s="4">
        <v>1</v>
      </c>
      <c r="H157" s="7">
        <v>0</v>
      </c>
      <c r="I157" s="4">
        <v>1</v>
      </c>
      <c r="J157" s="4">
        <v>0</v>
      </c>
      <c r="K157" s="6">
        <v>0</v>
      </c>
      <c r="M157" s="18">
        <f t="shared" si="8"/>
        <v>1</v>
      </c>
      <c r="N157" s="23">
        <v>0</v>
      </c>
      <c r="O157" s="18">
        <f t="shared" si="9"/>
        <v>0</v>
      </c>
      <c r="P157" s="18">
        <f t="shared" si="9"/>
        <v>0</v>
      </c>
      <c r="Q157" s="18">
        <f t="shared" si="9"/>
        <v>0</v>
      </c>
      <c r="R157" s="10">
        <f t="shared" si="10"/>
        <v>1</v>
      </c>
      <c r="S157" s="10" t="str">
        <f t="shared" si="11"/>
        <v>★</v>
      </c>
    </row>
    <row r="158" spans="1:19" ht="20" thickBot="1" x14ac:dyDescent="0.3">
      <c r="A158" s="4" t="s">
        <v>563</v>
      </c>
      <c r="B158" s="4" t="s">
        <v>29</v>
      </c>
      <c r="C158" s="4" t="s">
        <v>471</v>
      </c>
      <c r="D158" s="4" t="s">
        <v>63</v>
      </c>
      <c r="E158" s="4">
        <v>21</v>
      </c>
      <c r="F158" s="4">
        <v>1917</v>
      </c>
      <c r="G158" s="4">
        <v>40</v>
      </c>
      <c r="H158" s="5">
        <v>0.57499999999999996</v>
      </c>
      <c r="I158" s="4">
        <v>65</v>
      </c>
      <c r="J158" s="4">
        <v>6</v>
      </c>
      <c r="K158" s="6">
        <v>12</v>
      </c>
      <c r="M158" s="18">
        <f t="shared" si="8"/>
        <v>1</v>
      </c>
      <c r="N158" s="23">
        <v>1</v>
      </c>
      <c r="O158" s="18">
        <f t="shared" si="9"/>
        <v>1</v>
      </c>
      <c r="P158" s="18">
        <f t="shared" si="9"/>
        <v>1</v>
      </c>
      <c r="Q158" s="18">
        <f t="shared" si="9"/>
        <v>1</v>
      </c>
      <c r="R158" s="10">
        <f t="shared" si="10"/>
        <v>5</v>
      </c>
      <c r="S158" s="10" t="str">
        <f t="shared" si="11"/>
        <v>★★★★★</v>
      </c>
    </row>
    <row r="159" spans="1:19" ht="20" thickBot="1" x14ac:dyDescent="0.3">
      <c r="A159" s="4" t="s">
        <v>564</v>
      </c>
      <c r="B159" s="4" t="s">
        <v>29</v>
      </c>
      <c r="C159" s="4" t="s">
        <v>476</v>
      </c>
      <c r="D159" s="4" t="s">
        <v>50</v>
      </c>
      <c r="E159" s="4">
        <v>18</v>
      </c>
      <c r="F159" s="4">
        <v>144</v>
      </c>
      <c r="G159" s="4">
        <v>1</v>
      </c>
      <c r="H159" s="7">
        <v>1</v>
      </c>
      <c r="I159" s="4">
        <v>3</v>
      </c>
      <c r="J159" s="4">
        <v>0</v>
      </c>
      <c r="K159" s="6">
        <v>0</v>
      </c>
      <c r="M159" s="18">
        <f t="shared" si="8"/>
        <v>1</v>
      </c>
      <c r="N159" s="23">
        <v>0</v>
      </c>
      <c r="O159" s="18">
        <f t="shared" si="9"/>
        <v>0</v>
      </c>
      <c r="P159" s="18">
        <f t="shared" si="9"/>
        <v>0</v>
      </c>
      <c r="Q159" s="18">
        <f t="shared" si="9"/>
        <v>0</v>
      </c>
      <c r="R159" s="10">
        <f t="shared" si="10"/>
        <v>1</v>
      </c>
      <c r="S159" s="10" t="str">
        <f t="shared" si="11"/>
        <v>★</v>
      </c>
    </row>
    <row r="160" spans="1:19" ht="20" thickBot="1" x14ac:dyDescent="0.3">
      <c r="A160" s="4" t="s">
        <v>653</v>
      </c>
      <c r="B160" s="4" t="s">
        <v>29</v>
      </c>
      <c r="C160" s="4" t="s">
        <v>584</v>
      </c>
      <c r="D160" s="4" t="s">
        <v>39</v>
      </c>
      <c r="E160" s="4">
        <v>26</v>
      </c>
      <c r="F160" s="4">
        <v>2124</v>
      </c>
      <c r="G160" s="4">
        <v>54</v>
      </c>
      <c r="H160" s="5">
        <v>0.46300000000000002</v>
      </c>
      <c r="I160" s="4">
        <v>90</v>
      </c>
      <c r="J160" s="4">
        <v>11</v>
      </c>
      <c r="K160" s="6">
        <v>18</v>
      </c>
      <c r="M160" s="18">
        <f t="shared" si="8"/>
        <v>1</v>
      </c>
      <c r="N160" s="23">
        <v>1</v>
      </c>
      <c r="O160" s="18">
        <f t="shared" si="9"/>
        <v>1</v>
      </c>
      <c r="P160" s="18">
        <f t="shared" si="9"/>
        <v>1</v>
      </c>
      <c r="Q160" s="18">
        <f t="shared" si="9"/>
        <v>1</v>
      </c>
      <c r="R160" s="10">
        <f t="shared" si="10"/>
        <v>5</v>
      </c>
      <c r="S160" s="10" t="str">
        <f t="shared" si="11"/>
        <v>★★★★★</v>
      </c>
    </row>
    <row r="161" spans="1:19" ht="20" thickBot="1" x14ac:dyDescent="0.3">
      <c r="A161" s="4" t="s">
        <v>565</v>
      </c>
      <c r="B161" s="4" t="s">
        <v>60</v>
      </c>
      <c r="C161" s="4" t="s">
        <v>471</v>
      </c>
      <c r="D161" s="4" t="s">
        <v>58</v>
      </c>
      <c r="E161" s="4">
        <v>19</v>
      </c>
      <c r="F161" s="4">
        <v>125.99999999999999</v>
      </c>
      <c r="G161" s="4">
        <v>2</v>
      </c>
      <c r="H161" s="7">
        <v>0</v>
      </c>
      <c r="I161" s="4">
        <v>2</v>
      </c>
      <c r="J161" s="4">
        <v>0</v>
      </c>
      <c r="K161" s="6">
        <v>0</v>
      </c>
      <c r="M161" s="18">
        <f t="shared" si="8"/>
        <v>1</v>
      </c>
      <c r="N161" s="23">
        <v>0</v>
      </c>
      <c r="O161" s="18">
        <f t="shared" si="9"/>
        <v>0</v>
      </c>
      <c r="P161" s="18">
        <f t="shared" si="9"/>
        <v>0</v>
      </c>
      <c r="Q161" s="18">
        <f t="shared" si="9"/>
        <v>0</v>
      </c>
      <c r="R161" s="10">
        <f t="shared" si="10"/>
        <v>1</v>
      </c>
      <c r="S161" s="10" t="str">
        <f t="shared" si="11"/>
        <v>★</v>
      </c>
    </row>
    <row r="162" spans="1:19" ht="20" thickBot="1" x14ac:dyDescent="0.3">
      <c r="A162" s="4" t="s">
        <v>566</v>
      </c>
      <c r="B162" s="4" t="s">
        <v>29</v>
      </c>
      <c r="C162" s="4" t="s">
        <v>471</v>
      </c>
      <c r="D162" s="4" t="s">
        <v>33</v>
      </c>
      <c r="E162" s="4">
        <v>22</v>
      </c>
      <c r="F162" s="4">
        <v>801</v>
      </c>
      <c r="G162" s="4">
        <v>12</v>
      </c>
      <c r="H162" s="5">
        <v>0.41699999999999998</v>
      </c>
      <c r="I162" s="4">
        <v>18</v>
      </c>
      <c r="J162" s="4">
        <v>3</v>
      </c>
      <c r="K162" s="6">
        <v>1</v>
      </c>
      <c r="M162" s="18">
        <f t="shared" si="8"/>
        <v>1</v>
      </c>
      <c r="N162" s="23">
        <v>0</v>
      </c>
      <c r="O162" s="18">
        <f t="shared" si="9"/>
        <v>0</v>
      </c>
      <c r="P162" s="18">
        <f t="shared" si="9"/>
        <v>0.5</v>
      </c>
      <c r="Q162" s="18">
        <f t="shared" si="9"/>
        <v>0</v>
      </c>
      <c r="R162" s="10">
        <f t="shared" si="10"/>
        <v>1.5</v>
      </c>
      <c r="S162" s="10" t="str">
        <f t="shared" si="11"/>
        <v>★½</v>
      </c>
    </row>
    <row r="163" spans="1:19" ht="20" thickBot="1" x14ac:dyDescent="0.3">
      <c r="A163" s="4" t="s">
        <v>654</v>
      </c>
      <c r="B163" s="4" t="s">
        <v>29</v>
      </c>
      <c r="C163" s="4" t="s">
        <v>584</v>
      </c>
      <c r="D163" s="4" t="s">
        <v>43</v>
      </c>
      <c r="E163" s="4">
        <v>25</v>
      </c>
      <c r="F163" s="4">
        <v>2906.9999999999995</v>
      </c>
      <c r="G163" s="4">
        <v>83</v>
      </c>
      <c r="H163" s="5">
        <v>0.28899999999999998</v>
      </c>
      <c r="I163" s="4">
        <v>80</v>
      </c>
      <c r="J163" s="4">
        <v>10</v>
      </c>
      <c r="K163" s="6">
        <v>17</v>
      </c>
      <c r="M163" s="18">
        <f t="shared" si="8"/>
        <v>1</v>
      </c>
      <c r="N163" s="23">
        <v>0</v>
      </c>
      <c r="O163" s="18">
        <f t="shared" si="9"/>
        <v>1</v>
      </c>
      <c r="P163" s="18">
        <f t="shared" si="9"/>
        <v>1</v>
      </c>
      <c r="Q163" s="18">
        <f t="shared" si="9"/>
        <v>1</v>
      </c>
      <c r="R163" s="10">
        <f t="shared" si="10"/>
        <v>4</v>
      </c>
      <c r="S163" s="10" t="str">
        <f t="shared" si="11"/>
        <v>★★★★</v>
      </c>
    </row>
    <row r="164" spans="1:19" ht="20" thickBot="1" x14ac:dyDescent="0.3">
      <c r="A164" s="4" t="s">
        <v>655</v>
      </c>
      <c r="B164" s="4" t="s">
        <v>20</v>
      </c>
      <c r="C164" s="4" t="s">
        <v>584</v>
      </c>
      <c r="D164" s="4" t="s">
        <v>39</v>
      </c>
      <c r="E164" s="4">
        <v>21</v>
      </c>
      <c r="F164" s="4">
        <v>306</v>
      </c>
      <c r="G164" s="4">
        <v>13</v>
      </c>
      <c r="H164" s="5">
        <v>0.308</v>
      </c>
      <c r="I164" s="4">
        <v>5</v>
      </c>
      <c r="J164" s="4">
        <v>2</v>
      </c>
      <c r="K164" s="6">
        <v>3</v>
      </c>
      <c r="M164" s="18">
        <f t="shared" si="8"/>
        <v>1</v>
      </c>
      <c r="N164" s="23">
        <v>0</v>
      </c>
      <c r="O164" s="18">
        <f t="shared" si="9"/>
        <v>0</v>
      </c>
      <c r="P164" s="18">
        <f t="shared" si="9"/>
        <v>0</v>
      </c>
      <c r="Q164" s="18">
        <f t="shared" si="9"/>
        <v>0</v>
      </c>
      <c r="R164" s="10">
        <f t="shared" si="10"/>
        <v>1</v>
      </c>
      <c r="S164" s="10" t="str">
        <f t="shared" si="11"/>
        <v>★</v>
      </c>
    </row>
    <row r="165" spans="1:19" ht="20" thickBot="1" x14ac:dyDescent="0.3">
      <c r="A165" s="4" t="s">
        <v>656</v>
      </c>
      <c r="B165" s="4" t="s">
        <v>279</v>
      </c>
      <c r="C165" s="4" t="s">
        <v>584</v>
      </c>
      <c r="D165" s="4" t="s">
        <v>27</v>
      </c>
      <c r="E165" s="4">
        <v>30</v>
      </c>
      <c r="F165" s="4">
        <v>9</v>
      </c>
      <c r="G165" s="4">
        <v>0</v>
      </c>
      <c r="H165" s="11" t="s">
        <v>129</v>
      </c>
      <c r="I165" s="4">
        <v>0</v>
      </c>
      <c r="J165" s="4">
        <v>0</v>
      </c>
      <c r="K165" s="6">
        <v>0</v>
      </c>
      <c r="M165" s="18">
        <f t="shared" si="8"/>
        <v>0</v>
      </c>
      <c r="N165" s="23">
        <v>0</v>
      </c>
      <c r="O165" s="18">
        <f t="shared" si="9"/>
        <v>0</v>
      </c>
      <c r="P165" s="18">
        <f t="shared" si="9"/>
        <v>0</v>
      </c>
      <c r="Q165" s="18">
        <f t="shared" si="9"/>
        <v>0</v>
      </c>
      <c r="R165" s="10">
        <f t="shared" si="10"/>
        <v>0</v>
      </c>
      <c r="S165" s="10" t="str">
        <f t="shared" si="11"/>
        <v>☆</v>
      </c>
    </row>
    <row r="166" spans="1:19" ht="20" thickBot="1" x14ac:dyDescent="0.3">
      <c r="A166" s="4" t="s">
        <v>657</v>
      </c>
      <c r="B166" s="4" t="s">
        <v>20</v>
      </c>
      <c r="C166" s="4" t="s">
        <v>584</v>
      </c>
      <c r="D166" s="4" t="s">
        <v>81</v>
      </c>
      <c r="E166" s="4">
        <v>25</v>
      </c>
      <c r="F166" s="4">
        <v>1071</v>
      </c>
      <c r="G166" s="4">
        <v>23</v>
      </c>
      <c r="H166" s="5">
        <v>0.26100000000000001</v>
      </c>
      <c r="I166" s="4">
        <v>50</v>
      </c>
      <c r="J166" s="4">
        <v>2</v>
      </c>
      <c r="K166" s="6">
        <v>1</v>
      </c>
      <c r="M166" s="18">
        <f t="shared" si="8"/>
        <v>1</v>
      </c>
      <c r="N166" s="23">
        <v>0</v>
      </c>
      <c r="O166" s="18">
        <f t="shared" si="9"/>
        <v>1</v>
      </c>
      <c r="P166" s="18">
        <f t="shared" si="9"/>
        <v>0</v>
      </c>
      <c r="Q166" s="18">
        <f t="shared" si="9"/>
        <v>0</v>
      </c>
      <c r="R166" s="10">
        <f t="shared" si="10"/>
        <v>2</v>
      </c>
      <c r="S166" s="10" t="str">
        <f t="shared" si="11"/>
        <v>★★</v>
      </c>
    </row>
    <row r="167" spans="1:19" ht="20" thickBot="1" x14ac:dyDescent="0.3">
      <c r="A167" s="4" t="s">
        <v>567</v>
      </c>
      <c r="B167" s="4" t="s">
        <v>568</v>
      </c>
      <c r="C167" s="4" t="s">
        <v>471</v>
      </c>
      <c r="D167" s="4" t="s">
        <v>69</v>
      </c>
      <c r="E167" s="4">
        <v>25</v>
      </c>
      <c r="F167" s="4">
        <v>216</v>
      </c>
      <c r="G167" s="4">
        <v>8</v>
      </c>
      <c r="H167" s="5">
        <v>0.125</v>
      </c>
      <c r="I167" s="4">
        <v>11</v>
      </c>
      <c r="J167" s="4">
        <v>2</v>
      </c>
      <c r="K167" s="6">
        <v>0</v>
      </c>
      <c r="M167" s="18">
        <f t="shared" si="8"/>
        <v>1</v>
      </c>
      <c r="N167" s="23">
        <v>0</v>
      </c>
      <c r="O167" s="18">
        <f t="shared" si="9"/>
        <v>0</v>
      </c>
      <c r="P167" s="18">
        <f t="shared" si="9"/>
        <v>0</v>
      </c>
      <c r="Q167" s="18">
        <f t="shared" si="9"/>
        <v>0</v>
      </c>
      <c r="R167" s="10">
        <f t="shared" si="10"/>
        <v>1</v>
      </c>
      <c r="S167" s="10" t="str">
        <f t="shared" si="11"/>
        <v>★</v>
      </c>
    </row>
    <row r="168" spans="1:19" ht="20" thickBot="1" x14ac:dyDescent="0.3">
      <c r="A168" s="4" t="s">
        <v>658</v>
      </c>
      <c r="B168" s="4" t="s">
        <v>215</v>
      </c>
      <c r="C168" s="4" t="s">
        <v>584</v>
      </c>
      <c r="D168" s="4" t="s">
        <v>69</v>
      </c>
      <c r="E168" s="4">
        <v>26</v>
      </c>
      <c r="F168" s="4">
        <v>9</v>
      </c>
      <c r="G168" s="4">
        <v>1</v>
      </c>
      <c r="H168" s="7">
        <v>0</v>
      </c>
      <c r="I168" s="4">
        <v>0</v>
      </c>
      <c r="J168" s="4">
        <v>0</v>
      </c>
      <c r="K168" s="6">
        <v>0</v>
      </c>
      <c r="M168" s="18">
        <f t="shared" si="8"/>
        <v>0</v>
      </c>
      <c r="N168" s="23">
        <v>0</v>
      </c>
      <c r="O168" s="18">
        <f t="shared" si="9"/>
        <v>0</v>
      </c>
      <c r="P168" s="18">
        <f t="shared" si="9"/>
        <v>0</v>
      </c>
      <c r="Q168" s="18">
        <f t="shared" si="9"/>
        <v>0</v>
      </c>
      <c r="R168" s="10">
        <f t="shared" si="10"/>
        <v>0</v>
      </c>
      <c r="S168" s="10" t="str">
        <f t="shared" si="11"/>
        <v>☆</v>
      </c>
    </row>
    <row r="169" spans="1:19" ht="20" thickBot="1" x14ac:dyDescent="0.3">
      <c r="A169" s="4" t="s">
        <v>569</v>
      </c>
      <c r="B169" s="4" t="s">
        <v>83</v>
      </c>
      <c r="C169" s="4" t="s">
        <v>476</v>
      </c>
      <c r="D169" s="4" t="s">
        <v>81</v>
      </c>
      <c r="E169" s="4">
        <v>21</v>
      </c>
      <c r="F169" s="4">
        <v>1332</v>
      </c>
      <c r="G169" s="4">
        <v>31</v>
      </c>
      <c r="H169" s="5">
        <v>0.41899999999999998</v>
      </c>
      <c r="I169" s="4">
        <v>39</v>
      </c>
      <c r="J169" s="4">
        <v>2</v>
      </c>
      <c r="K169" s="6">
        <v>3</v>
      </c>
      <c r="M169" s="18">
        <f t="shared" si="8"/>
        <v>1</v>
      </c>
      <c r="N169" s="23">
        <v>1</v>
      </c>
      <c r="O169" s="18">
        <f t="shared" si="9"/>
        <v>1</v>
      </c>
      <c r="P169" s="18">
        <f t="shared" si="9"/>
        <v>0</v>
      </c>
      <c r="Q169" s="18">
        <f t="shared" si="9"/>
        <v>0</v>
      </c>
      <c r="R169" s="10">
        <f t="shared" si="10"/>
        <v>3</v>
      </c>
      <c r="S169" s="10" t="str">
        <f t="shared" si="11"/>
        <v>★★★</v>
      </c>
    </row>
    <row r="170" spans="1:19" ht="20" thickBot="1" x14ac:dyDescent="0.3">
      <c r="A170" s="4" t="s">
        <v>570</v>
      </c>
      <c r="B170" s="4" t="s">
        <v>162</v>
      </c>
      <c r="C170" s="4" t="s">
        <v>476</v>
      </c>
      <c r="D170" s="4" t="s">
        <v>85</v>
      </c>
      <c r="E170" s="4">
        <v>26</v>
      </c>
      <c r="F170" s="4">
        <v>2808</v>
      </c>
      <c r="G170" s="4">
        <v>72</v>
      </c>
      <c r="H170" s="5">
        <v>0.36099999999999999</v>
      </c>
      <c r="I170" s="4">
        <v>91</v>
      </c>
      <c r="J170" s="4">
        <v>10</v>
      </c>
      <c r="K170" s="6">
        <v>11</v>
      </c>
      <c r="M170" s="18">
        <f t="shared" si="8"/>
        <v>1</v>
      </c>
      <c r="N170" s="23">
        <v>1</v>
      </c>
      <c r="O170" s="18">
        <f t="shared" si="9"/>
        <v>1</v>
      </c>
      <c r="P170" s="18">
        <f t="shared" si="9"/>
        <v>1</v>
      </c>
      <c r="Q170" s="18">
        <f t="shared" si="9"/>
        <v>1</v>
      </c>
      <c r="R170" s="10">
        <f t="shared" si="10"/>
        <v>5</v>
      </c>
      <c r="S170" s="10" t="str">
        <f t="shared" si="11"/>
        <v>★★★★★</v>
      </c>
    </row>
    <row r="171" spans="1:19" ht="20" thickBot="1" x14ac:dyDescent="0.3">
      <c r="A171" s="4" t="s">
        <v>571</v>
      </c>
      <c r="B171" s="4" t="s">
        <v>241</v>
      </c>
      <c r="C171" s="4" t="s">
        <v>476</v>
      </c>
      <c r="D171" s="4" t="s">
        <v>50</v>
      </c>
      <c r="E171" s="4">
        <v>19</v>
      </c>
      <c r="F171" s="4">
        <v>333</v>
      </c>
      <c r="G171" s="4">
        <v>6</v>
      </c>
      <c r="H171" s="5">
        <v>0.33300000000000002</v>
      </c>
      <c r="I171" s="4">
        <v>11</v>
      </c>
      <c r="J171" s="4">
        <v>0</v>
      </c>
      <c r="K171" s="6">
        <v>0</v>
      </c>
      <c r="M171" s="18">
        <f t="shared" si="8"/>
        <v>1</v>
      </c>
      <c r="N171" s="23">
        <v>0</v>
      </c>
      <c r="O171" s="18">
        <f t="shared" si="9"/>
        <v>0</v>
      </c>
      <c r="P171" s="18">
        <f t="shared" si="9"/>
        <v>0</v>
      </c>
      <c r="Q171" s="18">
        <f t="shared" si="9"/>
        <v>0</v>
      </c>
      <c r="R171" s="10">
        <f t="shared" si="10"/>
        <v>1</v>
      </c>
      <c r="S171" s="10" t="str">
        <f t="shared" si="11"/>
        <v>★</v>
      </c>
    </row>
    <row r="172" spans="1:19" ht="20" thickBot="1" x14ac:dyDescent="0.3">
      <c r="A172" s="4" t="s">
        <v>659</v>
      </c>
      <c r="B172" s="4" t="s">
        <v>29</v>
      </c>
      <c r="C172" s="4" t="s">
        <v>584</v>
      </c>
      <c r="D172" s="4" t="s">
        <v>87</v>
      </c>
      <c r="E172" s="4">
        <v>34</v>
      </c>
      <c r="F172" s="4">
        <v>1809.0000000000002</v>
      </c>
      <c r="G172" s="4">
        <v>53</v>
      </c>
      <c r="H172" s="5">
        <v>0.47199999999999998</v>
      </c>
      <c r="I172" s="4">
        <v>38</v>
      </c>
      <c r="J172" s="4">
        <v>5</v>
      </c>
      <c r="K172" s="6">
        <v>17</v>
      </c>
      <c r="M172" s="18">
        <f t="shared" si="8"/>
        <v>1</v>
      </c>
      <c r="N172" s="23">
        <v>1</v>
      </c>
      <c r="O172" s="18">
        <f t="shared" si="9"/>
        <v>1</v>
      </c>
      <c r="P172" s="18">
        <f t="shared" si="9"/>
        <v>1</v>
      </c>
      <c r="Q172" s="18">
        <f t="shared" si="9"/>
        <v>1</v>
      </c>
      <c r="R172" s="10">
        <f t="shared" si="10"/>
        <v>5</v>
      </c>
      <c r="S172" s="10" t="str">
        <f t="shared" si="11"/>
        <v>★★★★★</v>
      </c>
    </row>
    <row r="173" spans="1:19" ht="20" thickBot="1" x14ac:dyDescent="0.3">
      <c r="A173" s="4" t="s">
        <v>572</v>
      </c>
      <c r="B173" s="4" t="s">
        <v>298</v>
      </c>
      <c r="C173" s="4" t="s">
        <v>476</v>
      </c>
      <c r="D173" s="4" t="s">
        <v>18</v>
      </c>
      <c r="E173" s="4">
        <v>23</v>
      </c>
      <c r="F173" s="4">
        <v>558</v>
      </c>
      <c r="G173" s="4">
        <v>7</v>
      </c>
      <c r="H173" s="5">
        <v>0.42899999999999999</v>
      </c>
      <c r="I173" s="4">
        <v>18</v>
      </c>
      <c r="J173" s="4">
        <v>0</v>
      </c>
      <c r="K173" s="6">
        <v>1</v>
      </c>
      <c r="M173" s="18">
        <f t="shared" si="8"/>
        <v>1</v>
      </c>
      <c r="N173" s="23">
        <v>0</v>
      </c>
      <c r="O173" s="18">
        <f t="shared" si="9"/>
        <v>0</v>
      </c>
      <c r="P173" s="18">
        <f t="shared" si="9"/>
        <v>0</v>
      </c>
      <c r="Q173" s="18">
        <f t="shared" si="9"/>
        <v>0</v>
      </c>
      <c r="R173" s="10">
        <f t="shared" si="10"/>
        <v>1</v>
      </c>
      <c r="S173" s="10" t="str">
        <f t="shared" si="11"/>
        <v>★</v>
      </c>
    </row>
    <row r="174" spans="1:19" ht="20" thickBot="1" x14ac:dyDescent="0.3">
      <c r="A174" s="4" t="s">
        <v>660</v>
      </c>
      <c r="B174" s="4" t="s">
        <v>185</v>
      </c>
      <c r="C174" s="4" t="s">
        <v>584</v>
      </c>
      <c r="D174" s="4" t="s">
        <v>53</v>
      </c>
      <c r="E174" s="4">
        <v>29</v>
      </c>
      <c r="F174" s="4">
        <v>675</v>
      </c>
      <c r="G174" s="4">
        <v>19</v>
      </c>
      <c r="H174" s="5">
        <v>0.36799999999999999</v>
      </c>
      <c r="I174" s="4">
        <v>12</v>
      </c>
      <c r="J174" s="4">
        <v>3</v>
      </c>
      <c r="K174" s="6">
        <v>5</v>
      </c>
      <c r="M174" s="18">
        <f t="shared" si="8"/>
        <v>1</v>
      </c>
      <c r="N174" s="23">
        <v>0</v>
      </c>
      <c r="O174" s="18">
        <f t="shared" si="9"/>
        <v>0</v>
      </c>
      <c r="P174" s="18">
        <f t="shared" si="9"/>
        <v>0.5</v>
      </c>
      <c r="Q174" s="18">
        <f t="shared" si="9"/>
        <v>0.5</v>
      </c>
      <c r="R174" s="10">
        <f t="shared" si="10"/>
        <v>2</v>
      </c>
      <c r="S174" s="10" t="str">
        <f t="shared" si="11"/>
        <v>★★</v>
      </c>
    </row>
    <row r="175" spans="1:19" ht="20" thickBot="1" x14ac:dyDescent="0.3">
      <c r="A175" s="4" t="s">
        <v>573</v>
      </c>
      <c r="B175" s="4" t="s">
        <v>29</v>
      </c>
      <c r="C175" s="4" t="s">
        <v>471</v>
      </c>
      <c r="D175" s="4" t="s">
        <v>33</v>
      </c>
      <c r="E175" s="4">
        <v>32</v>
      </c>
      <c r="F175" s="4">
        <v>378</v>
      </c>
      <c r="G175" s="4">
        <v>6</v>
      </c>
      <c r="H175" s="7">
        <v>0</v>
      </c>
      <c r="I175" s="4">
        <v>4</v>
      </c>
      <c r="J175" s="4">
        <v>1</v>
      </c>
      <c r="K175" s="6">
        <v>0</v>
      </c>
      <c r="M175" s="18">
        <f t="shared" si="8"/>
        <v>1</v>
      </c>
      <c r="N175" s="23">
        <v>0</v>
      </c>
      <c r="O175" s="18">
        <f t="shared" si="9"/>
        <v>0</v>
      </c>
      <c r="P175" s="18">
        <f t="shared" si="9"/>
        <v>0</v>
      </c>
      <c r="Q175" s="18">
        <f t="shared" si="9"/>
        <v>0</v>
      </c>
      <c r="R175" s="10">
        <f t="shared" si="10"/>
        <v>1</v>
      </c>
      <c r="S175" s="10" t="str">
        <f t="shared" si="11"/>
        <v>★</v>
      </c>
    </row>
    <row r="176" spans="1:19" ht="20" thickBot="1" x14ac:dyDescent="0.3">
      <c r="A176" s="4" t="s">
        <v>661</v>
      </c>
      <c r="B176" s="4" t="s">
        <v>29</v>
      </c>
      <c r="C176" s="4" t="s">
        <v>584</v>
      </c>
      <c r="D176" s="4" t="s">
        <v>69</v>
      </c>
      <c r="E176" s="4">
        <v>25</v>
      </c>
      <c r="F176" s="4">
        <v>2951.9999999999995</v>
      </c>
      <c r="G176" s="4">
        <v>77</v>
      </c>
      <c r="H176" s="5">
        <v>0.40300000000000002</v>
      </c>
      <c r="I176" s="4">
        <v>72</v>
      </c>
      <c r="J176" s="4">
        <v>8</v>
      </c>
      <c r="K176" s="6">
        <v>13</v>
      </c>
      <c r="M176" s="18">
        <f t="shared" si="8"/>
        <v>1</v>
      </c>
      <c r="N176" s="23">
        <v>1</v>
      </c>
      <c r="O176" s="18">
        <f t="shared" si="9"/>
        <v>1</v>
      </c>
      <c r="P176" s="18">
        <f t="shared" si="9"/>
        <v>1</v>
      </c>
      <c r="Q176" s="18">
        <f t="shared" si="9"/>
        <v>1</v>
      </c>
      <c r="R176" s="10">
        <f t="shared" si="10"/>
        <v>5</v>
      </c>
      <c r="S176" s="10" t="str">
        <f t="shared" si="11"/>
        <v>★★★★★</v>
      </c>
    </row>
    <row r="177" spans="1:19" ht="20" thickBot="1" x14ac:dyDescent="0.3">
      <c r="A177" s="4" t="s">
        <v>662</v>
      </c>
      <c r="B177" s="4" t="s">
        <v>60</v>
      </c>
      <c r="C177" s="4" t="s">
        <v>584</v>
      </c>
      <c r="D177" s="4" t="s">
        <v>53</v>
      </c>
      <c r="E177" s="4">
        <v>28</v>
      </c>
      <c r="F177" s="4">
        <v>1449.0000000000002</v>
      </c>
      <c r="G177" s="4">
        <v>30</v>
      </c>
      <c r="H177" s="5">
        <v>0.23300000000000001</v>
      </c>
      <c r="I177" s="4">
        <v>28</v>
      </c>
      <c r="J177" s="4">
        <v>5</v>
      </c>
      <c r="K177" s="6">
        <v>5</v>
      </c>
      <c r="M177" s="18">
        <f t="shared" si="8"/>
        <v>1</v>
      </c>
      <c r="N177" s="23">
        <v>0</v>
      </c>
      <c r="O177" s="18">
        <f t="shared" si="9"/>
        <v>0.5</v>
      </c>
      <c r="P177" s="18">
        <f t="shared" si="9"/>
        <v>1</v>
      </c>
      <c r="Q177" s="18">
        <f t="shared" si="9"/>
        <v>0.5</v>
      </c>
      <c r="R177" s="10">
        <f t="shared" si="10"/>
        <v>3</v>
      </c>
      <c r="S177" s="10" t="str">
        <f t="shared" si="11"/>
        <v>★★★</v>
      </c>
    </row>
    <row r="178" spans="1:19" ht="20" thickBot="1" x14ac:dyDescent="0.3">
      <c r="A178" s="4" t="s">
        <v>663</v>
      </c>
      <c r="B178" s="4" t="s">
        <v>29</v>
      </c>
      <c r="C178" s="4" t="s">
        <v>584</v>
      </c>
      <c r="D178" s="4" t="s">
        <v>85</v>
      </c>
      <c r="E178" s="4">
        <v>30</v>
      </c>
      <c r="F178" s="4">
        <v>1475.9999999999998</v>
      </c>
      <c r="G178" s="4">
        <v>43</v>
      </c>
      <c r="H178" s="5">
        <v>0.46500000000000002</v>
      </c>
      <c r="I178" s="4">
        <v>36</v>
      </c>
      <c r="J178" s="4">
        <v>4</v>
      </c>
      <c r="K178" s="6">
        <v>8</v>
      </c>
      <c r="M178" s="18">
        <f t="shared" si="8"/>
        <v>1</v>
      </c>
      <c r="N178" s="23">
        <v>1</v>
      </c>
      <c r="O178" s="18">
        <f t="shared" si="9"/>
        <v>0.5</v>
      </c>
      <c r="P178" s="18">
        <f t="shared" si="9"/>
        <v>0.5</v>
      </c>
      <c r="Q178" s="18">
        <f t="shared" si="9"/>
        <v>1</v>
      </c>
      <c r="R178" s="10">
        <f t="shared" si="10"/>
        <v>4</v>
      </c>
      <c r="S178" s="10" t="str">
        <f t="shared" si="11"/>
        <v>★★★★</v>
      </c>
    </row>
    <row r="179" spans="1:19" ht="20" thickBot="1" x14ac:dyDescent="0.3">
      <c r="A179" s="4" t="s">
        <v>574</v>
      </c>
      <c r="B179" s="4" t="s">
        <v>62</v>
      </c>
      <c r="C179" s="4" t="s">
        <v>476</v>
      </c>
      <c r="D179" s="4" t="s">
        <v>21</v>
      </c>
      <c r="E179" s="4">
        <v>25</v>
      </c>
      <c r="F179" s="4">
        <v>1287</v>
      </c>
      <c r="G179" s="4">
        <v>45</v>
      </c>
      <c r="H179" s="5">
        <v>0.35599999999999998</v>
      </c>
      <c r="I179" s="4">
        <v>26</v>
      </c>
      <c r="J179" s="4">
        <v>4</v>
      </c>
      <c r="K179" s="6">
        <v>5</v>
      </c>
      <c r="M179" s="18">
        <f t="shared" si="8"/>
        <v>1</v>
      </c>
      <c r="N179" s="23">
        <v>1</v>
      </c>
      <c r="O179" s="18">
        <f t="shared" si="9"/>
        <v>0.5</v>
      </c>
      <c r="P179" s="18">
        <f t="shared" si="9"/>
        <v>0.5</v>
      </c>
      <c r="Q179" s="18">
        <f t="shared" si="9"/>
        <v>0.5</v>
      </c>
      <c r="R179" s="10">
        <f t="shared" si="10"/>
        <v>3.5</v>
      </c>
      <c r="S179" s="10" t="str">
        <f t="shared" si="11"/>
        <v>★★★½</v>
      </c>
    </row>
    <row r="180" spans="1:19" ht="20" thickBot="1" x14ac:dyDescent="0.3">
      <c r="A180" s="4" t="s">
        <v>664</v>
      </c>
      <c r="B180" s="4" t="s">
        <v>29</v>
      </c>
      <c r="C180" s="4" t="s">
        <v>584</v>
      </c>
      <c r="D180" s="4" t="s">
        <v>35</v>
      </c>
      <c r="E180" s="4">
        <v>29</v>
      </c>
      <c r="F180" s="4">
        <v>1386</v>
      </c>
      <c r="G180" s="4">
        <v>32</v>
      </c>
      <c r="H180" s="5">
        <v>0.375</v>
      </c>
      <c r="I180" s="4">
        <v>20</v>
      </c>
      <c r="J180" s="4">
        <v>0</v>
      </c>
      <c r="K180" s="6">
        <v>8</v>
      </c>
      <c r="M180" s="18">
        <f t="shared" si="8"/>
        <v>1</v>
      </c>
      <c r="N180" s="23">
        <v>1</v>
      </c>
      <c r="O180" s="18">
        <f t="shared" si="9"/>
        <v>0</v>
      </c>
      <c r="P180" s="18">
        <f t="shared" si="9"/>
        <v>0</v>
      </c>
      <c r="Q180" s="18">
        <f t="shared" si="9"/>
        <v>1</v>
      </c>
      <c r="R180" s="10">
        <f t="shared" si="10"/>
        <v>3</v>
      </c>
      <c r="S180" s="10" t="str">
        <f t="shared" si="11"/>
        <v>★★★</v>
      </c>
    </row>
    <row r="181" spans="1:19" ht="20" thickBot="1" x14ac:dyDescent="0.3">
      <c r="A181" s="4" t="s">
        <v>575</v>
      </c>
      <c r="B181" s="4" t="s">
        <v>284</v>
      </c>
      <c r="C181" s="4" t="s">
        <v>476</v>
      </c>
      <c r="D181" s="4" t="s">
        <v>43</v>
      </c>
      <c r="E181" s="4">
        <v>24</v>
      </c>
      <c r="F181" s="4">
        <v>1287</v>
      </c>
      <c r="G181" s="4">
        <v>33</v>
      </c>
      <c r="H181" s="5">
        <v>0.39400000000000002</v>
      </c>
      <c r="I181" s="4">
        <v>19</v>
      </c>
      <c r="J181" s="4">
        <v>4</v>
      </c>
      <c r="K181" s="6">
        <v>8</v>
      </c>
      <c r="M181" s="18">
        <f t="shared" si="8"/>
        <v>1</v>
      </c>
      <c r="N181" s="23">
        <v>1</v>
      </c>
      <c r="O181" s="18">
        <f t="shared" si="9"/>
        <v>0</v>
      </c>
      <c r="P181" s="18">
        <f t="shared" si="9"/>
        <v>0.5</v>
      </c>
      <c r="Q181" s="18">
        <f t="shared" si="9"/>
        <v>1</v>
      </c>
      <c r="R181" s="10">
        <f t="shared" si="10"/>
        <v>3.5</v>
      </c>
      <c r="S181" s="10" t="str">
        <f t="shared" si="11"/>
        <v>★★★½</v>
      </c>
    </row>
    <row r="182" spans="1:19" ht="20" thickBot="1" x14ac:dyDescent="0.3">
      <c r="A182" s="4" t="s">
        <v>665</v>
      </c>
      <c r="B182" s="4" t="s">
        <v>666</v>
      </c>
      <c r="C182" s="4" t="s">
        <v>584</v>
      </c>
      <c r="D182" s="4" t="s">
        <v>35</v>
      </c>
      <c r="E182" s="4">
        <v>29</v>
      </c>
      <c r="F182" s="4">
        <v>1323</v>
      </c>
      <c r="G182" s="4">
        <v>20</v>
      </c>
      <c r="H182" s="7">
        <v>0.3</v>
      </c>
      <c r="I182" s="4">
        <v>21</v>
      </c>
      <c r="J182" s="4">
        <v>2</v>
      </c>
      <c r="K182" s="6">
        <v>2</v>
      </c>
      <c r="M182" s="18">
        <f t="shared" si="8"/>
        <v>1</v>
      </c>
      <c r="N182" s="23">
        <v>0</v>
      </c>
      <c r="O182" s="18">
        <f t="shared" si="9"/>
        <v>0</v>
      </c>
      <c r="P182" s="18">
        <f t="shared" si="9"/>
        <v>0</v>
      </c>
      <c r="Q182" s="18">
        <f t="shared" si="9"/>
        <v>0</v>
      </c>
      <c r="R182" s="10">
        <f t="shared" si="10"/>
        <v>1</v>
      </c>
      <c r="S182" s="10" t="str">
        <f t="shared" si="11"/>
        <v>★</v>
      </c>
    </row>
    <row r="183" spans="1:19" ht="20" thickBot="1" x14ac:dyDescent="0.3">
      <c r="A183" s="4" t="s">
        <v>665</v>
      </c>
      <c r="B183" s="4" t="s">
        <v>666</v>
      </c>
      <c r="C183" s="4" t="s">
        <v>584</v>
      </c>
      <c r="D183" s="4" t="s">
        <v>53</v>
      </c>
      <c r="E183" s="4">
        <v>29</v>
      </c>
      <c r="F183" s="4">
        <v>1368</v>
      </c>
      <c r="G183" s="4">
        <v>31</v>
      </c>
      <c r="H183" s="5">
        <v>0.32300000000000001</v>
      </c>
      <c r="I183" s="4">
        <v>21</v>
      </c>
      <c r="J183" s="4">
        <v>2</v>
      </c>
      <c r="K183" s="6">
        <v>3</v>
      </c>
      <c r="M183" s="18">
        <f t="shared" si="8"/>
        <v>1</v>
      </c>
      <c r="N183" s="23">
        <v>0</v>
      </c>
      <c r="O183" s="18">
        <f t="shared" si="9"/>
        <v>0</v>
      </c>
      <c r="P183" s="18">
        <f t="shared" si="9"/>
        <v>0</v>
      </c>
      <c r="Q183" s="18">
        <f t="shared" si="9"/>
        <v>0</v>
      </c>
      <c r="R183" s="10">
        <f t="shared" si="10"/>
        <v>1</v>
      </c>
      <c r="S183" s="10" t="str">
        <f t="shared" si="11"/>
        <v>★</v>
      </c>
    </row>
    <row r="184" spans="1:19" ht="20" thickBot="1" x14ac:dyDescent="0.3">
      <c r="A184" s="4" t="s">
        <v>667</v>
      </c>
      <c r="B184" s="4" t="s">
        <v>353</v>
      </c>
      <c r="C184" s="4" t="s">
        <v>584</v>
      </c>
      <c r="D184" s="4" t="s">
        <v>18</v>
      </c>
      <c r="E184" s="4">
        <v>31</v>
      </c>
      <c r="F184" s="4">
        <v>315</v>
      </c>
      <c r="G184" s="4">
        <v>11</v>
      </c>
      <c r="H184" s="5">
        <v>0.45500000000000002</v>
      </c>
      <c r="I184" s="4">
        <v>7</v>
      </c>
      <c r="J184" s="4">
        <v>0</v>
      </c>
      <c r="K184" s="6">
        <v>1</v>
      </c>
      <c r="M184" s="18">
        <f t="shared" si="8"/>
        <v>1</v>
      </c>
      <c r="N184" s="23">
        <v>0</v>
      </c>
      <c r="O184" s="18">
        <f t="shared" si="9"/>
        <v>0</v>
      </c>
      <c r="P184" s="18">
        <f t="shared" si="9"/>
        <v>0</v>
      </c>
      <c r="Q184" s="18">
        <f t="shared" si="9"/>
        <v>0</v>
      </c>
      <c r="R184" s="10">
        <f t="shared" si="10"/>
        <v>1</v>
      </c>
      <c r="S184" s="10" t="str">
        <f t="shared" si="11"/>
        <v>★</v>
      </c>
    </row>
    <row r="185" spans="1:19" ht="20" thickBot="1" x14ac:dyDescent="0.3">
      <c r="A185" s="4" t="s">
        <v>460</v>
      </c>
      <c r="B185" s="4" t="s">
        <v>29</v>
      </c>
      <c r="C185" s="4" t="s">
        <v>304</v>
      </c>
      <c r="D185" s="4" t="s">
        <v>69</v>
      </c>
      <c r="E185" s="4">
        <v>36</v>
      </c>
      <c r="F185" s="4">
        <v>1251</v>
      </c>
      <c r="G185" s="4">
        <v>10</v>
      </c>
      <c r="H185" s="7">
        <v>0.3</v>
      </c>
      <c r="I185" s="4">
        <v>22</v>
      </c>
      <c r="J185" s="4">
        <v>4</v>
      </c>
      <c r="K185" s="6">
        <v>2</v>
      </c>
      <c r="M185" s="18">
        <f t="shared" si="8"/>
        <v>1</v>
      </c>
      <c r="N185" s="23">
        <v>0</v>
      </c>
      <c r="O185" s="18">
        <f t="shared" si="9"/>
        <v>0</v>
      </c>
      <c r="P185" s="18">
        <f t="shared" si="9"/>
        <v>0.5</v>
      </c>
      <c r="Q185" s="18">
        <f t="shared" si="9"/>
        <v>0</v>
      </c>
      <c r="R185" s="10">
        <f t="shared" si="10"/>
        <v>1.5</v>
      </c>
      <c r="S185" s="10" t="str">
        <f t="shared" si="11"/>
        <v>★½</v>
      </c>
    </row>
    <row r="186" spans="1:19" ht="20" thickBot="1" x14ac:dyDescent="0.3">
      <c r="A186" s="4" t="s">
        <v>668</v>
      </c>
      <c r="B186" s="4" t="s">
        <v>29</v>
      </c>
      <c r="C186" s="4" t="s">
        <v>584</v>
      </c>
      <c r="D186" s="4" t="s">
        <v>43</v>
      </c>
      <c r="E186" s="4">
        <v>18</v>
      </c>
      <c r="F186" s="4">
        <v>0</v>
      </c>
      <c r="G186" s="4">
        <v>0</v>
      </c>
      <c r="H186" s="11" t="s">
        <v>129</v>
      </c>
      <c r="I186" s="4">
        <v>0</v>
      </c>
      <c r="J186" s="4">
        <v>0</v>
      </c>
      <c r="K186" s="6">
        <v>0</v>
      </c>
      <c r="M186" s="18">
        <f t="shared" si="8"/>
        <v>0</v>
      </c>
      <c r="N186" s="23">
        <v>0</v>
      </c>
      <c r="O186" s="18">
        <f t="shared" si="9"/>
        <v>0</v>
      </c>
      <c r="P186" s="18">
        <f t="shared" si="9"/>
        <v>0</v>
      </c>
      <c r="Q186" s="18">
        <f t="shared" si="9"/>
        <v>0</v>
      </c>
      <c r="R186" s="10">
        <f t="shared" si="10"/>
        <v>0</v>
      </c>
      <c r="S186" s="10" t="str">
        <f t="shared" si="11"/>
        <v>☆</v>
      </c>
    </row>
    <row r="187" spans="1:19" ht="20" thickBot="1" x14ac:dyDescent="0.3">
      <c r="A187" s="4" t="s">
        <v>669</v>
      </c>
      <c r="B187" s="4" t="s">
        <v>133</v>
      </c>
      <c r="C187" s="4" t="s">
        <v>584</v>
      </c>
      <c r="D187" s="4" t="s">
        <v>30</v>
      </c>
      <c r="E187" s="4">
        <v>28</v>
      </c>
      <c r="F187" s="4">
        <v>2763</v>
      </c>
      <c r="G187" s="4">
        <v>62</v>
      </c>
      <c r="H187" s="5">
        <v>0.41899999999999998</v>
      </c>
      <c r="I187" s="4">
        <v>104</v>
      </c>
      <c r="J187" s="4">
        <v>12</v>
      </c>
      <c r="K187" s="6">
        <v>15</v>
      </c>
      <c r="M187" s="18">
        <f t="shared" si="8"/>
        <v>1</v>
      </c>
      <c r="N187" s="23">
        <v>1</v>
      </c>
      <c r="O187" s="18">
        <f t="shared" si="9"/>
        <v>1</v>
      </c>
      <c r="P187" s="18">
        <f t="shared" si="9"/>
        <v>1</v>
      </c>
      <c r="Q187" s="18">
        <f t="shared" si="9"/>
        <v>1</v>
      </c>
      <c r="R187" s="10">
        <f t="shared" si="10"/>
        <v>5</v>
      </c>
      <c r="S187" s="10" t="str">
        <f t="shared" si="11"/>
        <v>★★★★★</v>
      </c>
    </row>
    <row r="188" spans="1:19" ht="20" thickBot="1" x14ac:dyDescent="0.3">
      <c r="A188" s="4" t="s">
        <v>576</v>
      </c>
      <c r="B188" s="4" t="s">
        <v>317</v>
      </c>
      <c r="C188" s="4" t="s">
        <v>476</v>
      </c>
      <c r="D188" s="4" t="s">
        <v>21</v>
      </c>
      <c r="E188" s="4">
        <v>28</v>
      </c>
      <c r="F188" s="4">
        <v>1323</v>
      </c>
      <c r="G188" s="4">
        <v>53</v>
      </c>
      <c r="H188" s="5">
        <v>0.35799999999999998</v>
      </c>
      <c r="I188" s="4">
        <v>64</v>
      </c>
      <c r="J188" s="4">
        <v>7</v>
      </c>
      <c r="K188" s="6">
        <v>7</v>
      </c>
      <c r="M188" s="18">
        <f t="shared" si="8"/>
        <v>1</v>
      </c>
      <c r="N188" s="23">
        <v>1</v>
      </c>
      <c r="O188" s="18">
        <f t="shared" si="9"/>
        <v>1</v>
      </c>
      <c r="P188" s="18">
        <f t="shared" si="9"/>
        <v>1</v>
      </c>
      <c r="Q188" s="18">
        <f t="shared" si="9"/>
        <v>1</v>
      </c>
      <c r="R188" s="10">
        <f t="shared" si="10"/>
        <v>5</v>
      </c>
      <c r="S188" s="10" t="str">
        <f t="shared" si="11"/>
        <v>★★★★★</v>
      </c>
    </row>
    <row r="189" spans="1:19" ht="20" thickBot="1" x14ac:dyDescent="0.3">
      <c r="D189" s="12" t="s">
        <v>94</v>
      </c>
      <c r="E189" s="13">
        <f t="shared" ref="E189:K189" si="12">MEDIAN(E2:E188)</f>
        <v>24</v>
      </c>
      <c r="F189" s="13">
        <f t="shared" si="12"/>
        <v>1161</v>
      </c>
      <c r="G189" s="13">
        <f t="shared" si="12"/>
        <v>25</v>
      </c>
      <c r="H189" s="16">
        <v>0.34599999999999997</v>
      </c>
      <c r="I189" s="13">
        <f t="shared" si="12"/>
        <v>26</v>
      </c>
      <c r="J189" s="13">
        <f t="shared" si="12"/>
        <v>3</v>
      </c>
      <c r="K189" s="13">
        <f t="shared" si="12"/>
        <v>4</v>
      </c>
    </row>
    <row r="190" spans="1:19" ht="20" thickBot="1" x14ac:dyDescent="0.3">
      <c r="D190" s="12" t="s">
        <v>464</v>
      </c>
      <c r="E190" s="13">
        <v>24.26</v>
      </c>
      <c r="F190" s="13">
        <v>1192.6300000000001</v>
      </c>
      <c r="G190" s="13">
        <v>29.46</v>
      </c>
      <c r="H190" s="16">
        <v>0.33350000000000002</v>
      </c>
      <c r="I190" s="13">
        <v>36.270000000000003</v>
      </c>
      <c r="J190" s="13">
        <v>4.45</v>
      </c>
      <c r="K190" s="13">
        <v>5.81</v>
      </c>
    </row>
    <row r="191" spans="1:19" x14ac:dyDescent="0.25">
      <c r="H191" s="8"/>
    </row>
    <row r="192" spans="1:19" x14ac:dyDescent="0.25">
      <c r="H192" s="8"/>
      <c r="L192" s="6"/>
    </row>
    <row r="193" spans="8:12" x14ac:dyDescent="0.25">
      <c r="H193" s="8"/>
      <c r="L193" s="6"/>
    </row>
    <row r="194" spans="8:12" x14ac:dyDescent="0.25">
      <c r="H194" s="8"/>
      <c r="L194" s="6"/>
    </row>
    <row r="195" spans="8:12" x14ac:dyDescent="0.25">
      <c r="H195" s="8"/>
      <c r="L195" s="6"/>
    </row>
    <row r="196" spans="8:12" x14ac:dyDescent="0.25">
      <c r="H196" s="8"/>
      <c r="L196" s="6"/>
    </row>
    <row r="197" spans="8:12" x14ac:dyDescent="0.25">
      <c r="H197" s="8"/>
      <c r="L197" s="6"/>
    </row>
    <row r="198" spans="8:12" x14ac:dyDescent="0.25">
      <c r="H198" s="8"/>
      <c r="L198" s="6"/>
    </row>
    <row r="199" spans="8:12" x14ac:dyDescent="0.25">
      <c r="H199" s="8"/>
      <c r="L199" s="6"/>
    </row>
    <row r="200" spans="8:12" x14ac:dyDescent="0.25">
      <c r="H200" s="8"/>
      <c r="L200" s="6"/>
    </row>
    <row r="201" spans="8:12" x14ac:dyDescent="0.25">
      <c r="H201" s="8"/>
      <c r="L201" s="6"/>
    </row>
    <row r="202" spans="8:12" x14ac:dyDescent="0.25">
      <c r="H202" s="8"/>
      <c r="L202" s="6"/>
    </row>
    <row r="203" spans="8:12" x14ac:dyDescent="0.25">
      <c r="H203" s="8"/>
      <c r="L203" s="6"/>
    </row>
    <row r="204" spans="8:12" x14ac:dyDescent="0.25">
      <c r="H204" s="8"/>
      <c r="L204" s="6"/>
    </row>
    <row r="205" spans="8:12" x14ac:dyDescent="0.25">
      <c r="H205" s="8"/>
      <c r="L205" s="6"/>
    </row>
    <row r="206" spans="8:12" x14ac:dyDescent="0.25">
      <c r="H206" s="8"/>
      <c r="L206" s="6"/>
    </row>
    <row r="207" spans="8:12" x14ac:dyDescent="0.25">
      <c r="H207" s="8"/>
      <c r="L207" s="6"/>
    </row>
    <row r="208" spans="8:12" x14ac:dyDescent="0.25">
      <c r="H208" s="8"/>
      <c r="L208" s="6"/>
    </row>
    <row r="209" spans="8:12" x14ac:dyDescent="0.25">
      <c r="H209" s="8"/>
      <c r="L209" s="6"/>
    </row>
    <row r="210" spans="8:12" x14ac:dyDescent="0.25">
      <c r="H210" s="8"/>
      <c r="L210" s="6"/>
    </row>
    <row r="211" spans="8:12" x14ac:dyDescent="0.25">
      <c r="H211" s="8"/>
      <c r="L211" s="6"/>
    </row>
    <row r="212" spans="8:12" x14ac:dyDescent="0.25">
      <c r="H212" s="8"/>
      <c r="L212" s="6"/>
    </row>
    <row r="213" spans="8:12" x14ac:dyDescent="0.25">
      <c r="H213" s="8"/>
      <c r="L213" s="6"/>
    </row>
    <row r="214" spans="8:12" x14ac:dyDescent="0.25">
      <c r="H214" s="8"/>
      <c r="L214" s="6"/>
    </row>
    <row r="215" spans="8:12" x14ac:dyDescent="0.25">
      <c r="H215" s="8"/>
      <c r="L215" s="6"/>
    </row>
    <row r="216" spans="8:12" x14ac:dyDescent="0.25">
      <c r="H216" s="8"/>
      <c r="L216" s="6"/>
    </row>
    <row r="217" spans="8:12" x14ac:dyDescent="0.25">
      <c r="H217" s="8"/>
      <c r="L217" s="6"/>
    </row>
    <row r="218" spans="8:12" x14ac:dyDescent="0.25">
      <c r="H218" s="8"/>
      <c r="L218" s="6"/>
    </row>
    <row r="219" spans="8:12" x14ac:dyDescent="0.25">
      <c r="H219" s="8"/>
      <c r="L219" s="6"/>
    </row>
    <row r="220" spans="8:12" x14ac:dyDescent="0.25">
      <c r="H220" s="8"/>
      <c r="L220" s="6"/>
    </row>
    <row r="221" spans="8:12" x14ac:dyDescent="0.25">
      <c r="H221" s="8"/>
      <c r="L221" s="6"/>
    </row>
    <row r="222" spans="8:12" x14ac:dyDescent="0.25">
      <c r="H222" s="8"/>
      <c r="L222" s="6"/>
    </row>
    <row r="223" spans="8:12" x14ac:dyDescent="0.25">
      <c r="H223" s="8"/>
      <c r="L223" s="6"/>
    </row>
    <row r="224" spans="8:12" x14ac:dyDescent="0.25">
      <c r="H224" s="8"/>
      <c r="L224" s="6"/>
    </row>
    <row r="225" spans="8:12" x14ac:dyDescent="0.25">
      <c r="H225" s="8"/>
      <c r="L225" s="6"/>
    </row>
    <row r="226" spans="8:12" x14ac:dyDescent="0.25">
      <c r="H226" s="8"/>
      <c r="L226" s="6"/>
    </row>
    <row r="227" spans="8:12" x14ac:dyDescent="0.25">
      <c r="H227" s="8"/>
      <c r="L227" s="6"/>
    </row>
    <row r="228" spans="8:12" x14ac:dyDescent="0.25">
      <c r="H228" s="8"/>
      <c r="L228" s="6"/>
    </row>
    <row r="229" spans="8:12" x14ac:dyDescent="0.25">
      <c r="H229" s="8"/>
      <c r="L229" s="6"/>
    </row>
    <row r="230" spans="8:12" x14ac:dyDescent="0.25">
      <c r="H230" s="8"/>
      <c r="L230" s="6"/>
    </row>
    <row r="231" spans="8:12" x14ac:dyDescent="0.25">
      <c r="H231" s="8"/>
      <c r="L231" s="6"/>
    </row>
    <row r="232" spans="8:12" x14ac:dyDescent="0.25">
      <c r="H232" s="8"/>
      <c r="L232" s="6"/>
    </row>
    <row r="233" spans="8:12" x14ac:dyDescent="0.25">
      <c r="H233" s="8"/>
      <c r="L233" s="6"/>
    </row>
    <row r="234" spans="8:12" x14ac:dyDescent="0.25">
      <c r="H234" s="8"/>
    </row>
    <row r="235" spans="8:12" x14ac:dyDescent="0.25">
      <c r="H235" s="8"/>
    </row>
    <row r="236" spans="8:12" x14ac:dyDescent="0.25">
      <c r="H236" s="8"/>
    </row>
    <row r="237" spans="8:12" x14ac:dyDescent="0.25">
      <c r="H237" s="8"/>
    </row>
    <row r="238" spans="8:12" x14ac:dyDescent="0.25">
      <c r="H238" s="8"/>
    </row>
    <row r="239" spans="8:12" x14ac:dyDescent="0.25">
      <c r="H239" s="8"/>
    </row>
    <row r="240" spans="8:12" x14ac:dyDescent="0.25">
      <c r="H240" s="8"/>
    </row>
    <row r="241" spans="8:8" x14ac:dyDescent="0.25">
      <c r="H241" s="8"/>
    </row>
    <row r="242" spans="8:8" x14ac:dyDescent="0.25">
      <c r="H242" s="8"/>
    </row>
    <row r="243" spans="8:8" x14ac:dyDescent="0.25">
      <c r="H243" s="8"/>
    </row>
    <row r="244" spans="8:8" x14ac:dyDescent="0.25">
      <c r="H244" s="8"/>
    </row>
    <row r="245" spans="8:8" x14ac:dyDescent="0.25">
      <c r="H245" s="8"/>
    </row>
    <row r="246" spans="8:8" x14ac:dyDescent="0.25">
      <c r="H246" s="8"/>
    </row>
    <row r="247" spans="8:8" x14ac:dyDescent="0.25">
      <c r="H247" s="8"/>
    </row>
    <row r="248" spans="8:8" x14ac:dyDescent="0.25">
      <c r="H248" s="8"/>
    </row>
    <row r="249" spans="8:8" x14ac:dyDescent="0.25">
      <c r="H249" s="8"/>
    </row>
    <row r="250" spans="8:8" x14ac:dyDescent="0.25">
      <c r="H250" s="8"/>
    </row>
    <row r="251" spans="8:8" x14ac:dyDescent="0.25">
      <c r="H251" s="8"/>
    </row>
    <row r="252" spans="8:8" x14ac:dyDescent="0.25">
      <c r="H252" s="8"/>
    </row>
    <row r="253" spans="8:8" x14ac:dyDescent="0.25">
      <c r="H253" s="8"/>
    </row>
    <row r="254" spans="8:8" x14ac:dyDescent="0.25">
      <c r="H254" s="8"/>
    </row>
    <row r="255" spans="8:8" x14ac:dyDescent="0.25">
      <c r="H255" s="8"/>
    </row>
    <row r="256" spans="8:8" x14ac:dyDescent="0.25">
      <c r="H256" s="8"/>
    </row>
    <row r="257" spans="8:8" x14ac:dyDescent="0.25">
      <c r="H257" s="8"/>
    </row>
    <row r="258" spans="8:8" x14ac:dyDescent="0.25">
      <c r="H258" s="8"/>
    </row>
    <row r="259" spans="8:8" x14ac:dyDescent="0.25">
      <c r="H259" s="8"/>
    </row>
    <row r="260" spans="8:8" x14ac:dyDescent="0.25">
      <c r="H260" s="8"/>
    </row>
    <row r="261" spans="8:8" x14ac:dyDescent="0.25">
      <c r="H261" s="8"/>
    </row>
    <row r="262" spans="8:8" x14ac:dyDescent="0.25">
      <c r="H262" s="8"/>
    </row>
    <row r="263" spans="8:8" x14ac:dyDescent="0.25">
      <c r="H263" s="8"/>
    </row>
    <row r="264" spans="8:8" x14ac:dyDescent="0.25">
      <c r="H264" s="8"/>
    </row>
    <row r="265" spans="8:8" x14ac:dyDescent="0.25">
      <c r="H265" s="8"/>
    </row>
    <row r="266" spans="8:8" x14ac:dyDescent="0.25">
      <c r="H266" s="8"/>
    </row>
    <row r="267" spans="8:8" x14ac:dyDescent="0.25">
      <c r="H267" s="8"/>
    </row>
    <row r="268" spans="8:8" x14ac:dyDescent="0.25">
      <c r="H268" s="8"/>
    </row>
    <row r="269" spans="8:8" x14ac:dyDescent="0.25">
      <c r="H269" s="8"/>
    </row>
    <row r="270" spans="8:8" x14ac:dyDescent="0.25">
      <c r="H270" s="8"/>
    </row>
    <row r="271" spans="8:8" x14ac:dyDescent="0.25">
      <c r="H271" s="8"/>
    </row>
    <row r="272" spans="8:8" x14ac:dyDescent="0.25">
      <c r="H272" s="8"/>
    </row>
    <row r="273" spans="8:8" x14ac:dyDescent="0.25">
      <c r="H273" s="8"/>
    </row>
    <row r="274" spans="8:8" x14ac:dyDescent="0.25">
      <c r="H274" s="8"/>
    </row>
    <row r="275" spans="8:8" x14ac:dyDescent="0.25">
      <c r="H275" s="8"/>
    </row>
    <row r="276" spans="8:8" x14ac:dyDescent="0.25">
      <c r="H276" s="8"/>
    </row>
    <row r="277" spans="8:8" x14ac:dyDescent="0.25">
      <c r="H277" s="8"/>
    </row>
    <row r="278" spans="8:8" x14ac:dyDescent="0.25">
      <c r="H278" s="8"/>
    </row>
    <row r="279" spans="8:8" x14ac:dyDescent="0.25">
      <c r="H279" s="8"/>
    </row>
    <row r="280" spans="8:8" x14ac:dyDescent="0.25">
      <c r="H280" s="8"/>
    </row>
    <row r="281" spans="8:8" x14ac:dyDescent="0.25">
      <c r="H281" s="8"/>
    </row>
    <row r="282" spans="8:8" x14ac:dyDescent="0.25">
      <c r="H282" s="8"/>
    </row>
    <row r="283" spans="8:8" x14ac:dyDescent="0.25">
      <c r="H283" s="8"/>
    </row>
    <row r="284" spans="8:8" x14ac:dyDescent="0.25">
      <c r="H284" s="8"/>
    </row>
    <row r="285" spans="8:8" x14ac:dyDescent="0.25">
      <c r="H285" s="8"/>
    </row>
    <row r="286" spans="8:8" x14ac:dyDescent="0.25">
      <c r="H286" s="8"/>
    </row>
    <row r="287" spans="8:8" x14ac:dyDescent="0.25">
      <c r="H287" s="8"/>
    </row>
    <row r="288" spans="8:8" x14ac:dyDescent="0.25">
      <c r="H288" s="8"/>
    </row>
    <row r="289" spans="8:8" x14ac:dyDescent="0.25">
      <c r="H289" s="8"/>
    </row>
    <row r="290" spans="8:8" x14ac:dyDescent="0.25">
      <c r="H290" s="8"/>
    </row>
    <row r="291" spans="8:8" x14ac:dyDescent="0.25">
      <c r="H291" s="8"/>
    </row>
    <row r="292" spans="8:8" x14ac:dyDescent="0.25">
      <c r="H292" s="8"/>
    </row>
    <row r="293" spans="8:8" x14ac:dyDescent="0.25">
      <c r="H293" s="8"/>
    </row>
    <row r="294" spans="8:8" x14ac:dyDescent="0.25">
      <c r="H294" s="8"/>
    </row>
    <row r="295" spans="8:8" x14ac:dyDescent="0.25">
      <c r="H295" s="8"/>
    </row>
    <row r="296" spans="8:8" x14ac:dyDescent="0.25">
      <c r="H296" s="8"/>
    </row>
    <row r="297" spans="8:8" x14ac:dyDescent="0.25">
      <c r="H297" s="8"/>
    </row>
    <row r="298" spans="8:8" x14ac:dyDescent="0.25">
      <c r="H298" s="8"/>
    </row>
    <row r="299" spans="8:8" x14ac:dyDescent="0.25">
      <c r="H299" s="8"/>
    </row>
    <row r="300" spans="8:8" x14ac:dyDescent="0.25">
      <c r="H300" s="8"/>
    </row>
    <row r="301" spans="8:8" x14ac:dyDescent="0.25">
      <c r="H301" s="8"/>
    </row>
    <row r="302" spans="8:8" x14ac:dyDescent="0.25">
      <c r="H302" s="8"/>
    </row>
    <row r="303" spans="8:8" x14ac:dyDescent="0.25">
      <c r="H303" s="8"/>
    </row>
    <row r="304" spans="8:8" x14ac:dyDescent="0.25">
      <c r="H304" s="8"/>
    </row>
    <row r="305" spans="8:8" x14ac:dyDescent="0.25">
      <c r="H305" s="8"/>
    </row>
    <row r="306" spans="8:8" x14ac:dyDescent="0.25">
      <c r="H306" s="8"/>
    </row>
    <row r="307" spans="8:8" x14ac:dyDescent="0.25">
      <c r="H307" s="8"/>
    </row>
    <row r="308" spans="8:8" x14ac:dyDescent="0.25">
      <c r="H308" s="8"/>
    </row>
    <row r="309" spans="8:8" x14ac:dyDescent="0.25">
      <c r="H309" s="8"/>
    </row>
    <row r="310" spans="8:8" x14ac:dyDescent="0.25">
      <c r="H310" s="8"/>
    </row>
    <row r="311" spans="8:8" x14ac:dyDescent="0.25">
      <c r="H311" s="8"/>
    </row>
    <row r="312" spans="8:8" x14ac:dyDescent="0.25">
      <c r="H312" s="8"/>
    </row>
    <row r="313" spans="8:8" x14ac:dyDescent="0.25">
      <c r="H313" s="8"/>
    </row>
    <row r="314" spans="8:8" x14ac:dyDescent="0.25">
      <c r="H314" s="8"/>
    </row>
    <row r="315" spans="8:8" x14ac:dyDescent="0.25">
      <c r="H315" s="8"/>
    </row>
    <row r="316" spans="8:8" x14ac:dyDescent="0.25">
      <c r="H316" s="8"/>
    </row>
    <row r="317" spans="8:8" x14ac:dyDescent="0.25">
      <c r="H317" s="8"/>
    </row>
    <row r="318" spans="8:8" x14ac:dyDescent="0.25">
      <c r="H318" s="8"/>
    </row>
    <row r="319" spans="8:8" x14ac:dyDescent="0.25">
      <c r="H319" s="8"/>
    </row>
    <row r="320" spans="8:8" x14ac:dyDescent="0.25">
      <c r="H320" s="8"/>
    </row>
    <row r="321" spans="8:8" x14ac:dyDescent="0.25">
      <c r="H321" s="8"/>
    </row>
    <row r="322" spans="8:8" x14ac:dyDescent="0.25">
      <c r="H322" s="8"/>
    </row>
    <row r="323" spans="8:8" x14ac:dyDescent="0.25">
      <c r="H323" s="8"/>
    </row>
    <row r="324" spans="8:8" x14ac:dyDescent="0.25">
      <c r="H324" s="8"/>
    </row>
    <row r="325" spans="8:8" x14ac:dyDescent="0.25">
      <c r="H325" s="8"/>
    </row>
    <row r="326" spans="8:8" x14ac:dyDescent="0.25">
      <c r="H326" s="8"/>
    </row>
    <row r="327" spans="8:8" x14ac:dyDescent="0.25">
      <c r="H327" s="8"/>
    </row>
    <row r="328" spans="8:8" x14ac:dyDescent="0.25">
      <c r="H328" s="8"/>
    </row>
    <row r="329" spans="8:8" x14ac:dyDescent="0.25">
      <c r="H329" s="8"/>
    </row>
    <row r="330" spans="8:8" x14ac:dyDescent="0.25">
      <c r="H330" s="8"/>
    </row>
    <row r="331" spans="8:8" x14ac:dyDescent="0.25">
      <c r="H331" s="8"/>
    </row>
    <row r="332" spans="8:8" x14ac:dyDescent="0.25">
      <c r="H332" s="8"/>
    </row>
    <row r="333" spans="8:8" x14ac:dyDescent="0.25">
      <c r="H333" s="8"/>
    </row>
    <row r="334" spans="8:8" x14ac:dyDescent="0.25">
      <c r="H334" s="8"/>
    </row>
    <row r="335" spans="8:8" x14ac:dyDescent="0.25">
      <c r="H335" s="8"/>
    </row>
    <row r="336" spans="8:8" x14ac:dyDescent="0.25">
      <c r="H336" s="8"/>
    </row>
    <row r="337" spans="8:8" x14ac:dyDescent="0.25">
      <c r="H337" s="8"/>
    </row>
    <row r="338" spans="8:8" x14ac:dyDescent="0.25">
      <c r="H338" s="8"/>
    </row>
    <row r="339" spans="8:8" x14ac:dyDescent="0.25">
      <c r="H339" s="8"/>
    </row>
    <row r="340" spans="8:8" x14ac:dyDescent="0.25">
      <c r="H340" s="8"/>
    </row>
    <row r="341" spans="8:8" x14ac:dyDescent="0.25">
      <c r="H341" s="8"/>
    </row>
    <row r="342" spans="8:8" x14ac:dyDescent="0.25">
      <c r="H342" s="8"/>
    </row>
    <row r="343" spans="8:8" x14ac:dyDescent="0.25">
      <c r="H343" s="8"/>
    </row>
    <row r="344" spans="8:8" x14ac:dyDescent="0.25">
      <c r="H344" s="8"/>
    </row>
    <row r="345" spans="8:8" x14ac:dyDescent="0.25">
      <c r="H345" s="8"/>
    </row>
    <row r="346" spans="8:8" x14ac:dyDescent="0.25">
      <c r="H346" s="8"/>
    </row>
    <row r="347" spans="8:8" x14ac:dyDescent="0.25">
      <c r="H347" s="8"/>
    </row>
    <row r="348" spans="8:8" x14ac:dyDescent="0.25">
      <c r="H348" s="8"/>
    </row>
    <row r="349" spans="8:8" x14ac:dyDescent="0.25">
      <c r="H349" s="8"/>
    </row>
    <row r="350" spans="8:8" x14ac:dyDescent="0.25">
      <c r="H350" s="8"/>
    </row>
    <row r="351" spans="8:8" x14ac:dyDescent="0.25">
      <c r="H351" s="8"/>
    </row>
    <row r="352" spans="8:8" x14ac:dyDescent="0.25">
      <c r="H352" s="8"/>
    </row>
    <row r="353" spans="8:8" x14ac:dyDescent="0.25">
      <c r="H353" s="8"/>
    </row>
    <row r="354" spans="8:8" x14ac:dyDescent="0.25">
      <c r="H354" s="8"/>
    </row>
    <row r="355" spans="8:8" x14ac:dyDescent="0.25">
      <c r="H355" s="8"/>
    </row>
    <row r="356" spans="8:8" x14ac:dyDescent="0.25">
      <c r="H356" s="8"/>
    </row>
    <row r="357" spans="8:8" x14ac:dyDescent="0.25">
      <c r="H357" s="8"/>
    </row>
    <row r="358" spans="8:8" x14ac:dyDescent="0.25">
      <c r="H358" s="8"/>
    </row>
    <row r="359" spans="8:8" x14ac:dyDescent="0.25">
      <c r="H359" s="8"/>
    </row>
    <row r="360" spans="8:8" x14ac:dyDescent="0.25">
      <c r="H360" s="8"/>
    </row>
    <row r="361" spans="8:8" x14ac:dyDescent="0.25">
      <c r="H361" s="8"/>
    </row>
    <row r="362" spans="8:8" x14ac:dyDescent="0.25">
      <c r="H362" s="8"/>
    </row>
    <row r="363" spans="8:8" x14ac:dyDescent="0.25">
      <c r="H363" s="8"/>
    </row>
    <row r="364" spans="8:8" x14ac:dyDescent="0.25">
      <c r="H364" s="8"/>
    </row>
    <row r="365" spans="8:8" x14ac:dyDescent="0.25">
      <c r="H365" s="8"/>
    </row>
    <row r="366" spans="8:8" x14ac:dyDescent="0.25">
      <c r="H366" s="8"/>
    </row>
    <row r="367" spans="8:8" x14ac:dyDescent="0.25">
      <c r="H367" s="8"/>
    </row>
    <row r="368" spans="8:8" x14ac:dyDescent="0.25">
      <c r="H368" s="8"/>
    </row>
    <row r="369" spans="8:8" x14ac:dyDescent="0.25">
      <c r="H369" s="8"/>
    </row>
    <row r="370" spans="8:8" x14ac:dyDescent="0.25">
      <c r="H370" s="8"/>
    </row>
    <row r="371" spans="8:8" x14ac:dyDescent="0.25">
      <c r="H371" s="8"/>
    </row>
    <row r="372" spans="8:8" x14ac:dyDescent="0.25">
      <c r="H372" s="8"/>
    </row>
    <row r="373" spans="8:8" x14ac:dyDescent="0.25">
      <c r="H373" s="8"/>
    </row>
    <row r="374" spans="8:8" x14ac:dyDescent="0.25">
      <c r="H374" s="8"/>
    </row>
    <row r="375" spans="8:8" x14ac:dyDescent="0.25">
      <c r="H375" s="8"/>
    </row>
    <row r="376" spans="8:8" x14ac:dyDescent="0.25">
      <c r="H376" s="8"/>
    </row>
    <row r="377" spans="8:8" x14ac:dyDescent="0.25">
      <c r="H377" s="8"/>
    </row>
    <row r="378" spans="8:8" x14ac:dyDescent="0.25">
      <c r="H378" s="8"/>
    </row>
    <row r="379" spans="8:8" x14ac:dyDescent="0.25">
      <c r="H379" s="8"/>
    </row>
    <row r="380" spans="8:8" x14ac:dyDescent="0.25">
      <c r="H380" s="8"/>
    </row>
    <row r="381" spans="8:8" x14ac:dyDescent="0.25">
      <c r="H381" s="8"/>
    </row>
    <row r="382" spans="8:8" x14ac:dyDescent="0.25">
      <c r="H382" s="8"/>
    </row>
    <row r="383" spans="8:8" x14ac:dyDescent="0.25">
      <c r="H383" s="8"/>
    </row>
    <row r="384" spans="8:8" x14ac:dyDescent="0.25">
      <c r="H384" s="8"/>
    </row>
    <row r="385" spans="8:8" x14ac:dyDescent="0.25">
      <c r="H385" s="8"/>
    </row>
    <row r="386" spans="8:8" x14ac:dyDescent="0.25">
      <c r="H386" s="8"/>
    </row>
    <row r="387" spans="8:8" x14ac:dyDescent="0.25">
      <c r="H387" s="8"/>
    </row>
    <row r="388" spans="8:8" x14ac:dyDescent="0.25">
      <c r="H388" s="8"/>
    </row>
    <row r="389" spans="8:8" x14ac:dyDescent="0.25">
      <c r="H389" s="8"/>
    </row>
    <row r="390" spans="8:8" x14ac:dyDescent="0.25">
      <c r="H390" s="8"/>
    </row>
    <row r="391" spans="8:8" x14ac:dyDescent="0.25">
      <c r="H391" s="8"/>
    </row>
    <row r="392" spans="8:8" x14ac:dyDescent="0.25">
      <c r="H392" s="8"/>
    </row>
    <row r="393" spans="8:8" x14ac:dyDescent="0.25">
      <c r="H393" s="8"/>
    </row>
    <row r="394" spans="8:8" x14ac:dyDescent="0.25">
      <c r="H394" s="8"/>
    </row>
    <row r="395" spans="8:8" x14ac:dyDescent="0.25">
      <c r="H395" s="8"/>
    </row>
    <row r="396" spans="8:8" x14ac:dyDescent="0.25">
      <c r="H396" s="8"/>
    </row>
    <row r="397" spans="8:8" x14ac:dyDescent="0.25">
      <c r="H397" s="8"/>
    </row>
    <row r="398" spans="8:8" x14ac:dyDescent="0.25">
      <c r="H398" s="8"/>
    </row>
    <row r="399" spans="8:8" x14ac:dyDescent="0.25">
      <c r="H399" s="8"/>
    </row>
    <row r="400" spans="8:8" x14ac:dyDescent="0.25">
      <c r="H400" s="8"/>
    </row>
    <row r="401" spans="8:8" x14ac:dyDescent="0.25">
      <c r="H401" s="8"/>
    </row>
    <row r="402" spans="8:8" x14ac:dyDescent="0.25">
      <c r="H402" s="8"/>
    </row>
    <row r="403" spans="8:8" x14ac:dyDescent="0.25">
      <c r="H403" s="8"/>
    </row>
    <row r="404" spans="8:8" x14ac:dyDescent="0.25">
      <c r="H404" s="8"/>
    </row>
    <row r="405" spans="8:8" x14ac:dyDescent="0.25">
      <c r="H405" s="8"/>
    </row>
    <row r="406" spans="8:8" x14ac:dyDescent="0.25">
      <c r="H406" s="8"/>
    </row>
    <row r="407" spans="8:8" x14ac:dyDescent="0.25">
      <c r="H407" s="8"/>
    </row>
    <row r="408" spans="8:8" x14ac:dyDescent="0.25">
      <c r="H408" s="8"/>
    </row>
    <row r="409" spans="8:8" x14ac:dyDescent="0.25">
      <c r="H409" s="8"/>
    </row>
    <row r="410" spans="8:8" x14ac:dyDescent="0.25">
      <c r="H410" s="8"/>
    </row>
    <row r="411" spans="8:8" x14ac:dyDescent="0.25">
      <c r="H411" s="8"/>
    </row>
    <row r="412" spans="8:8" x14ac:dyDescent="0.25">
      <c r="H412" s="8"/>
    </row>
    <row r="413" spans="8:8" x14ac:dyDescent="0.25">
      <c r="H413" s="8"/>
    </row>
    <row r="414" spans="8:8" x14ac:dyDescent="0.25">
      <c r="H414" s="8"/>
    </row>
    <row r="415" spans="8:8" x14ac:dyDescent="0.25">
      <c r="H415" s="8"/>
    </row>
    <row r="416" spans="8:8" x14ac:dyDescent="0.25">
      <c r="H416" s="8"/>
    </row>
    <row r="417" spans="8:8" x14ac:dyDescent="0.25">
      <c r="H417" s="8"/>
    </row>
    <row r="418" spans="8:8" x14ac:dyDescent="0.25">
      <c r="H418" s="8"/>
    </row>
    <row r="419" spans="8:8" x14ac:dyDescent="0.25">
      <c r="H419" s="8"/>
    </row>
    <row r="420" spans="8:8" x14ac:dyDescent="0.25">
      <c r="H420" s="8"/>
    </row>
    <row r="421" spans="8:8" x14ac:dyDescent="0.25">
      <c r="H421" s="8"/>
    </row>
    <row r="422" spans="8:8" x14ac:dyDescent="0.25">
      <c r="H422" s="8"/>
    </row>
    <row r="423" spans="8:8" x14ac:dyDescent="0.25">
      <c r="H423" s="8"/>
    </row>
    <row r="424" spans="8:8" x14ac:dyDescent="0.25">
      <c r="H424" s="8"/>
    </row>
    <row r="425" spans="8:8" x14ac:dyDescent="0.25">
      <c r="H425" s="8"/>
    </row>
    <row r="426" spans="8:8" x14ac:dyDescent="0.25">
      <c r="H426" s="8"/>
    </row>
    <row r="427" spans="8:8" x14ac:dyDescent="0.25">
      <c r="H427" s="8"/>
    </row>
    <row r="428" spans="8:8" x14ac:dyDescent="0.25">
      <c r="H428" s="8"/>
    </row>
    <row r="429" spans="8:8" x14ac:dyDescent="0.25">
      <c r="H429" s="8"/>
    </row>
    <row r="430" spans="8:8" x14ac:dyDescent="0.25">
      <c r="H430" s="8"/>
    </row>
    <row r="431" spans="8:8" x14ac:dyDescent="0.25">
      <c r="H431" s="8"/>
    </row>
    <row r="432" spans="8:8" x14ac:dyDescent="0.25">
      <c r="H432" s="8"/>
    </row>
    <row r="433" spans="8:8" x14ac:dyDescent="0.25">
      <c r="H433" s="8"/>
    </row>
    <row r="434" spans="8:8" x14ac:dyDescent="0.25">
      <c r="H434" s="8"/>
    </row>
    <row r="435" spans="8:8" x14ac:dyDescent="0.25">
      <c r="H435" s="8"/>
    </row>
    <row r="436" spans="8:8" x14ac:dyDescent="0.25">
      <c r="H436" s="8"/>
    </row>
    <row r="437" spans="8:8" x14ac:dyDescent="0.25">
      <c r="H437" s="8"/>
    </row>
    <row r="438" spans="8:8" x14ac:dyDescent="0.25">
      <c r="H438" s="8"/>
    </row>
    <row r="439" spans="8:8" x14ac:dyDescent="0.25">
      <c r="H439" s="8"/>
    </row>
    <row r="440" spans="8:8" x14ac:dyDescent="0.25">
      <c r="H440" s="8"/>
    </row>
    <row r="441" spans="8:8" x14ac:dyDescent="0.25">
      <c r="H441" s="8"/>
    </row>
    <row r="442" spans="8:8" x14ac:dyDescent="0.25">
      <c r="H442" s="8"/>
    </row>
    <row r="443" spans="8:8" x14ac:dyDescent="0.25">
      <c r="H443" s="8"/>
    </row>
    <row r="444" spans="8:8" x14ac:dyDescent="0.25">
      <c r="H444" s="8"/>
    </row>
    <row r="445" spans="8:8" x14ac:dyDescent="0.25">
      <c r="H445" s="8"/>
    </row>
    <row r="446" spans="8:8" x14ac:dyDescent="0.25">
      <c r="H446" s="8"/>
    </row>
    <row r="447" spans="8:8" x14ac:dyDescent="0.25">
      <c r="H447" s="8"/>
    </row>
    <row r="448" spans="8:8" x14ac:dyDescent="0.25">
      <c r="H448" s="8"/>
    </row>
    <row r="449" spans="8:8" x14ac:dyDescent="0.25">
      <c r="H449" s="8"/>
    </row>
    <row r="450" spans="8:8" x14ac:dyDescent="0.25">
      <c r="H450" s="8"/>
    </row>
    <row r="451" spans="8:8" x14ac:dyDescent="0.25">
      <c r="H451" s="8"/>
    </row>
    <row r="452" spans="8:8" x14ac:dyDescent="0.25">
      <c r="H452" s="8"/>
    </row>
    <row r="453" spans="8:8" x14ac:dyDescent="0.25">
      <c r="H453" s="8"/>
    </row>
    <row r="454" spans="8:8" x14ac:dyDescent="0.25">
      <c r="H454" s="8"/>
    </row>
    <row r="455" spans="8:8" x14ac:dyDescent="0.25">
      <c r="H455" s="8"/>
    </row>
    <row r="456" spans="8:8" x14ac:dyDescent="0.25">
      <c r="H456" s="8"/>
    </row>
    <row r="457" spans="8:8" x14ac:dyDescent="0.25">
      <c r="H457" s="8"/>
    </row>
    <row r="458" spans="8:8" x14ac:dyDescent="0.25">
      <c r="H458" s="8"/>
    </row>
    <row r="459" spans="8:8" x14ac:dyDescent="0.25">
      <c r="H459" s="8"/>
    </row>
    <row r="460" spans="8:8" x14ac:dyDescent="0.25">
      <c r="H460" s="8"/>
    </row>
    <row r="461" spans="8:8" x14ac:dyDescent="0.25">
      <c r="H461" s="8"/>
    </row>
    <row r="462" spans="8:8" x14ac:dyDescent="0.25">
      <c r="H462" s="8"/>
    </row>
    <row r="463" spans="8:8" x14ac:dyDescent="0.25">
      <c r="H463" s="8"/>
    </row>
    <row r="464" spans="8:8" x14ac:dyDescent="0.25">
      <c r="H464" s="8"/>
    </row>
    <row r="465" spans="8:8" x14ac:dyDescent="0.25">
      <c r="H465" s="8"/>
    </row>
    <row r="466" spans="8:8" x14ac:dyDescent="0.25">
      <c r="H466" s="8"/>
    </row>
    <row r="467" spans="8:8" x14ac:dyDescent="0.25">
      <c r="H467" s="8"/>
    </row>
    <row r="468" spans="8:8" x14ac:dyDescent="0.25">
      <c r="H468" s="8"/>
    </row>
    <row r="469" spans="8:8" x14ac:dyDescent="0.25">
      <c r="H469" s="8"/>
    </row>
    <row r="470" spans="8:8" x14ac:dyDescent="0.25">
      <c r="H470" s="8"/>
    </row>
    <row r="471" spans="8:8" x14ac:dyDescent="0.25">
      <c r="H471" s="8"/>
    </row>
    <row r="472" spans="8:8" x14ac:dyDescent="0.25">
      <c r="H472" s="8"/>
    </row>
    <row r="473" spans="8:8" x14ac:dyDescent="0.25">
      <c r="H473" s="8"/>
    </row>
    <row r="474" spans="8:8" x14ac:dyDescent="0.25">
      <c r="H474" s="8"/>
    </row>
    <row r="475" spans="8:8" x14ac:dyDescent="0.25">
      <c r="H475" s="8"/>
    </row>
    <row r="476" spans="8:8" x14ac:dyDescent="0.25">
      <c r="H476" s="8"/>
    </row>
    <row r="477" spans="8:8" x14ac:dyDescent="0.25">
      <c r="H477" s="8"/>
    </row>
    <row r="478" spans="8:8" x14ac:dyDescent="0.25">
      <c r="H478" s="8"/>
    </row>
    <row r="479" spans="8:8" x14ac:dyDescent="0.25">
      <c r="H479" s="8"/>
    </row>
    <row r="480" spans="8:8" x14ac:dyDescent="0.25">
      <c r="H480" s="8"/>
    </row>
    <row r="481" spans="8:8" x14ac:dyDescent="0.25">
      <c r="H481" s="8"/>
    </row>
    <row r="482" spans="8:8" x14ac:dyDescent="0.25">
      <c r="H482" s="8"/>
    </row>
    <row r="483" spans="8:8" x14ac:dyDescent="0.25">
      <c r="H483" s="8"/>
    </row>
    <row r="484" spans="8:8" x14ac:dyDescent="0.25">
      <c r="H484" s="8"/>
    </row>
    <row r="485" spans="8:8" x14ac:dyDescent="0.25">
      <c r="H485" s="8"/>
    </row>
    <row r="486" spans="8:8" x14ac:dyDescent="0.25">
      <c r="H486" s="8"/>
    </row>
    <row r="487" spans="8:8" x14ac:dyDescent="0.25">
      <c r="H487" s="8"/>
    </row>
    <row r="488" spans="8:8" x14ac:dyDescent="0.25">
      <c r="H488" s="8"/>
    </row>
    <row r="489" spans="8:8" x14ac:dyDescent="0.25">
      <c r="H489" s="8"/>
    </row>
    <row r="490" spans="8:8" x14ac:dyDescent="0.25">
      <c r="H490" s="8"/>
    </row>
    <row r="491" spans="8:8" x14ac:dyDescent="0.25">
      <c r="H491" s="8"/>
    </row>
    <row r="492" spans="8:8" x14ac:dyDescent="0.25">
      <c r="H492" s="8"/>
    </row>
    <row r="493" spans="8:8" x14ac:dyDescent="0.25">
      <c r="H493" s="8"/>
    </row>
    <row r="494" spans="8:8" x14ac:dyDescent="0.25">
      <c r="H494" s="8"/>
    </row>
    <row r="495" spans="8:8" x14ac:dyDescent="0.25">
      <c r="H495" s="8"/>
    </row>
    <row r="496" spans="8:8" x14ac:dyDescent="0.25">
      <c r="H496" s="8"/>
    </row>
    <row r="497" spans="8:8" x14ac:dyDescent="0.25">
      <c r="H497" s="8"/>
    </row>
    <row r="498" spans="8:8" x14ac:dyDescent="0.25">
      <c r="H498" s="8"/>
    </row>
    <row r="499" spans="8:8" x14ac:dyDescent="0.25">
      <c r="H499" s="8"/>
    </row>
    <row r="500" spans="8:8" x14ac:dyDescent="0.25">
      <c r="H500" s="8"/>
    </row>
    <row r="501" spans="8:8" x14ac:dyDescent="0.25">
      <c r="H501" s="8"/>
    </row>
    <row r="502" spans="8:8" x14ac:dyDescent="0.25">
      <c r="H502" s="8"/>
    </row>
    <row r="503" spans="8:8" x14ac:dyDescent="0.25">
      <c r="H503" s="8"/>
    </row>
    <row r="504" spans="8:8" x14ac:dyDescent="0.25">
      <c r="H504" s="8"/>
    </row>
    <row r="505" spans="8:8" x14ac:dyDescent="0.25">
      <c r="H505" s="8"/>
    </row>
    <row r="506" spans="8:8" x14ac:dyDescent="0.25">
      <c r="H506" s="8"/>
    </row>
    <row r="507" spans="8:8" x14ac:dyDescent="0.25">
      <c r="H507" s="8"/>
    </row>
    <row r="508" spans="8:8" x14ac:dyDescent="0.25">
      <c r="H508" s="8"/>
    </row>
    <row r="509" spans="8:8" x14ac:dyDescent="0.25">
      <c r="H509" s="8"/>
    </row>
    <row r="510" spans="8:8" x14ac:dyDescent="0.25">
      <c r="H510" s="8"/>
    </row>
    <row r="511" spans="8:8" x14ac:dyDescent="0.25">
      <c r="H511" s="8"/>
    </row>
    <row r="512" spans="8:8" x14ac:dyDescent="0.25">
      <c r="H512" s="8"/>
    </row>
    <row r="513" spans="8:8" x14ac:dyDescent="0.25">
      <c r="H513" s="8"/>
    </row>
    <row r="514" spans="8:8" x14ac:dyDescent="0.25">
      <c r="H514" s="8"/>
    </row>
    <row r="515" spans="8:8" x14ac:dyDescent="0.25">
      <c r="H515" s="8"/>
    </row>
    <row r="516" spans="8:8" x14ac:dyDescent="0.25">
      <c r="H516" s="8"/>
    </row>
    <row r="517" spans="8:8" x14ac:dyDescent="0.25">
      <c r="H517" s="8"/>
    </row>
    <row r="518" spans="8:8" x14ac:dyDescent="0.25">
      <c r="H518" s="8"/>
    </row>
    <row r="519" spans="8:8" x14ac:dyDescent="0.25">
      <c r="H519" s="8"/>
    </row>
    <row r="520" spans="8:8" x14ac:dyDescent="0.25">
      <c r="H520" s="8"/>
    </row>
    <row r="521" spans="8:8" x14ac:dyDescent="0.25">
      <c r="H521" s="8"/>
    </row>
    <row r="522" spans="8:8" x14ac:dyDescent="0.25">
      <c r="H522" s="8"/>
    </row>
    <row r="523" spans="8:8" x14ac:dyDescent="0.25">
      <c r="H523" s="8"/>
    </row>
    <row r="524" spans="8:8" x14ac:dyDescent="0.25">
      <c r="H524" s="8"/>
    </row>
    <row r="525" spans="8:8" x14ac:dyDescent="0.25">
      <c r="H525" s="8"/>
    </row>
    <row r="526" spans="8:8" x14ac:dyDescent="0.25">
      <c r="H526" s="8"/>
    </row>
    <row r="527" spans="8:8" x14ac:dyDescent="0.25">
      <c r="H527" s="8"/>
    </row>
    <row r="528" spans="8:8" x14ac:dyDescent="0.25">
      <c r="H528" s="8"/>
    </row>
    <row r="529" spans="8:8" x14ac:dyDescent="0.25">
      <c r="H529" s="8"/>
    </row>
    <row r="530" spans="8:8" x14ac:dyDescent="0.25">
      <c r="H530" s="8"/>
    </row>
    <row r="531" spans="8:8" x14ac:dyDescent="0.25">
      <c r="H531" s="8"/>
    </row>
    <row r="532" spans="8:8" x14ac:dyDescent="0.25">
      <c r="H532" s="8"/>
    </row>
    <row r="533" spans="8:8" x14ac:dyDescent="0.25">
      <c r="H533" s="8"/>
    </row>
    <row r="534" spans="8:8" x14ac:dyDescent="0.25">
      <c r="H534" s="8"/>
    </row>
    <row r="535" spans="8:8" x14ac:dyDescent="0.25">
      <c r="H535" s="8"/>
    </row>
    <row r="536" spans="8:8" x14ac:dyDescent="0.25">
      <c r="H536" s="8"/>
    </row>
    <row r="537" spans="8:8" x14ac:dyDescent="0.25">
      <c r="H537" s="8"/>
    </row>
    <row r="538" spans="8:8" x14ac:dyDescent="0.25">
      <c r="H538" s="8"/>
    </row>
    <row r="539" spans="8:8" x14ac:dyDescent="0.25">
      <c r="H539" s="8"/>
    </row>
    <row r="540" spans="8:8" x14ac:dyDescent="0.25">
      <c r="H540" s="8"/>
    </row>
    <row r="541" spans="8:8" x14ac:dyDescent="0.25">
      <c r="H541" s="8"/>
    </row>
    <row r="542" spans="8:8" x14ac:dyDescent="0.25">
      <c r="H542" s="8"/>
    </row>
    <row r="543" spans="8:8" x14ac:dyDescent="0.25">
      <c r="H543" s="8"/>
    </row>
    <row r="544" spans="8:8" x14ac:dyDescent="0.25">
      <c r="H544" s="8"/>
    </row>
    <row r="545" spans="8:8" x14ac:dyDescent="0.25">
      <c r="H545" s="8"/>
    </row>
    <row r="546" spans="8:8" x14ac:dyDescent="0.25">
      <c r="H546" s="8"/>
    </row>
    <row r="547" spans="8:8" x14ac:dyDescent="0.25">
      <c r="H547" s="8"/>
    </row>
    <row r="548" spans="8:8" x14ac:dyDescent="0.25">
      <c r="H548" s="8"/>
    </row>
    <row r="549" spans="8:8" x14ac:dyDescent="0.25">
      <c r="H549" s="8"/>
    </row>
    <row r="550" spans="8:8" x14ac:dyDescent="0.25">
      <c r="H550" s="8"/>
    </row>
    <row r="551" spans="8:8" x14ac:dyDescent="0.25">
      <c r="H551" s="8"/>
    </row>
    <row r="552" spans="8:8" x14ac:dyDescent="0.25">
      <c r="H552" s="8"/>
    </row>
    <row r="553" spans="8:8" x14ac:dyDescent="0.25">
      <c r="H553" s="8"/>
    </row>
    <row r="554" spans="8:8" x14ac:dyDescent="0.25">
      <c r="H554" s="8"/>
    </row>
    <row r="555" spans="8:8" x14ac:dyDescent="0.25">
      <c r="H555" s="8"/>
    </row>
    <row r="556" spans="8:8" x14ac:dyDescent="0.25">
      <c r="H556" s="8"/>
    </row>
    <row r="557" spans="8:8" x14ac:dyDescent="0.25">
      <c r="H557" s="8"/>
    </row>
    <row r="558" spans="8:8" x14ac:dyDescent="0.25">
      <c r="H558" s="8"/>
    </row>
    <row r="559" spans="8:8" x14ac:dyDescent="0.25">
      <c r="H559" s="8"/>
    </row>
    <row r="560" spans="8:8" x14ac:dyDescent="0.25">
      <c r="H560" s="8"/>
    </row>
    <row r="561" spans="8:8" x14ac:dyDescent="0.25">
      <c r="H561" s="8"/>
    </row>
    <row r="562" spans="8:8" x14ac:dyDescent="0.25">
      <c r="H562" s="8"/>
    </row>
    <row r="563" spans="8:8" x14ac:dyDescent="0.25">
      <c r="H563" s="8"/>
    </row>
    <row r="564" spans="8:8" x14ac:dyDescent="0.25">
      <c r="H564" s="8"/>
    </row>
    <row r="565" spans="8:8" x14ac:dyDescent="0.25">
      <c r="H565" s="8"/>
    </row>
    <row r="566" spans="8:8" x14ac:dyDescent="0.25">
      <c r="H566" s="8"/>
    </row>
    <row r="567" spans="8:8" x14ac:dyDescent="0.25">
      <c r="H567" s="8"/>
    </row>
    <row r="568" spans="8:8" x14ac:dyDescent="0.25">
      <c r="H568" s="8"/>
    </row>
    <row r="569" spans="8:8" x14ac:dyDescent="0.25">
      <c r="H569" s="8"/>
    </row>
    <row r="570" spans="8:8" x14ac:dyDescent="0.25">
      <c r="H570" s="8"/>
    </row>
    <row r="571" spans="8:8" x14ac:dyDescent="0.25">
      <c r="H571" s="8"/>
    </row>
    <row r="572" spans="8:8" x14ac:dyDescent="0.25">
      <c r="H572" s="8"/>
    </row>
    <row r="573" spans="8:8" x14ac:dyDescent="0.25">
      <c r="H573" s="8"/>
    </row>
    <row r="574" spans="8:8" x14ac:dyDescent="0.25">
      <c r="H574" s="8"/>
    </row>
    <row r="575" spans="8:8" x14ac:dyDescent="0.25">
      <c r="H575" s="8"/>
    </row>
    <row r="576" spans="8:8" x14ac:dyDescent="0.25">
      <c r="H576" s="8"/>
    </row>
    <row r="577" spans="8:8" x14ac:dyDescent="0.25">
      <c r="H577" s="8"/>
    </row>
    <row r="578" spans="8:8" x14ac:dyDescent="0.25">
      <c r="H578" s="8"/>
    </row>
    <row r="579" spans="8:8" x14ac:dyDescent="0.25">
      <c r="H579" s="8"/>
    </row>
    <row r="580" spans="8:8" x14ac:dyDescent="0.25">
      <c r="H580" s="8"/>
    </row>
    <row r="581" spans="8:8" x14ac:dyDescent="0.25">
      <c r="H581" s="8"/>
    </row>
    <row r="582" spans="8:8" x14ac:dyDescent="0.25">
      <c r="H582" s="8"/>
    </row>
    <row r="583" spans="8:8" x14ac:dyDescent="0.25">
      <c r="H583" s="8"/>
    </row>
    <row r="584" spans="8:8" x14ac:dyDescent="0.25">
      <c r="H584" s="8"/>
    </row>
    <row r="585" spans="8:8" x14ac:dyDescent="0.25">
      <c r="H585" s="8"/>
    </row>
    <row r="586" spans="8:8" x14ac:dyDescent="0.25">
      <c r="H586" s="8"/>
    </row>
    <row r="587" spans="8:8" x14ac:dyDescent="0.25">
      <c r="H587" s="8"/>
    </row>
    <row r="588" spans="8:8" x14ac:dyDescent="0.25">
      <c r="H588" s="8"/>
    </row>
    <row r="589" spans="8:8" x14ac:dyDescent="0.25">
      <c r="H589" s="8"/>
    </row>
    <row r="590" spans="8:8" x14ac:dyDescent="0.25">
      <c r="H590" s="8"/>
    </row>
    <row r="591" spans="8:8" x14ac:dyDescent="0.25">
      <c r="H591" s="8"/>
    </row>
    <row r="592" spans="8:8" x14ac:dyDescent="0.25">
      <c r="H592" s="8"/>
    </row>
    <row r="593" spans="8:8" x14ac:dyDescent="0.25">
      <c r="H593" s="8"/>
    </row>
    <row r="594" spans="8:8" x14ac:dyDescent="0.25">
      <c r="H594" s="8"/>
    </row>
    <row r="595" spans="8:8" x14ac:dyDescent="0.25">
      <c r="H595" s="8"/>
    </row>
    <row r="596" spans="8:8" x14ac:dyDescent="0.25">
      <c r="H596" s="8"/>
    </row>
    <row r="597" spans="8:8" x14ac:dyDescent="0.25">
      <c r="H597" s="8"/>
    </row>
    <row r="598" spans="8:8" x14ac:dyDescent="0.25">
      <c r="H598" s="8"/>
    </row>
    <row r="599" spans="8:8" x14ac:dyDescent="0.25">
      <c r="H599" s="8"/>
    </row>
    <row r="600" spans="8:8" x14ac:dyDescent="0.25">
      <c r="H600" s="8"/>
    </row>
    <row r="601" spans="8:8" x14ac:dyDescent="0.25">
      <c r="H601" s="8"/>
    </row>
    <row r="602" spans="8:8" x14ac:dyDescent="0.25">
      <c r="H602" s="8"/>
    </row>
    <row r="603" spans="8:8" x14ac:dyDescent="0.25">
      <c r="H603" s="8"/>
    </row>
    <row r="604" spans="8:8" x14ac:dyDescent="0.25">
      <c r="H604" s="8"/>
    </row>
    <row r="605" spans="8:8" x14ac:dyDescent="0.25">
      <c r="H605" s="8"/>
    </row>
    <row r="606" spans="8:8" x14ac:dyDescent="0.25">
      <c r="H606" s="8"/>
    </row>
    <row r="607" spans="8:8" x14ac:dyDescent="0.25">
      <c r="H607" s="8"/>
    </row>
    <row r="608" spans="8:8" x14ac:dyDescent="0.25">
      <c r="H608" s="8"/>
    </row>
    <row r="609" spans="8:8" x14ac:dyDescent="0.25">
      <c r="H609" s="8"/>
    </row>
    <row r="610" spans="8:8" x14ac:dyDescent="0.25">
      <c r="H610" s="8"/>
    </row>
    <row r="611" spans="8:8" x14ac:dyDescent="0.25">
      <c r="H611" s="8"/>
    </row>
    <row r="612" spans="8:8" x14ac:dyDescent="0.25">
      <c r="H612" s="8"/>
    </row>
    <row r="613" spans="8:8" x14ac:dyDescent="0.25">
      <c r="H613" s="8"/>
    </row>
    <row r="614" spans="8:8" x14ac:dyDescent="0.25">
      <c r="H614" s="8"/>
    </row>
    <row r="615" spans="8:8" x14ac:dyDescent="0.25">
      <c r="H615" s="8"/>
    </row>
    <row r="616" spans="8:8" x14ac:dyDescent="0.25">
      <c r="H616" s="8"/>
    </row>
    <row r="617" spans="8:8" x14ac:dyDescent="0.25">
      <c r="H617" s="8"/>
    </row>
    <row r="618" spans="8:8" x14ac:dyDescent="0.25">
      <c r="H618" s="8"/>
    </row>
    <row r="619" spans="8:8" x14ac:dyDescent="0.25">
      <c r="H619" s="8"/>
    </row>
    <row r="620" spans="8:8" x14ac:dyDescent="0.25">
      <c r="H620" s="8"/>
    </row>
    <row r="621" spans="8:8" x14ac:dyDescent="0.25">
      <c r="H621" s="8"/>
    </row>
    <row r="622" spans="8:8" x14ac:dyDescent="0.25">
      <c r="H622" s="8"/>
    </row>
    <row r="623" spans="8:8" x14ac:dyDescent="0.25">
      <c r="H623" s="8"/>
    </row>
    <row r="624" spans="8:8" x14ac:dyDescent="0.25">
      <c r="H624" s="8"/>
    </row>
    <row r="625" spans="8:8" x14ac:dyDescent="0.25">
      <c r="H625" s="8"/>
    </row>
    <row r="626" spans="8:8" x14ac:dyDescent="0.25">
      <c r="H626" s="8"/>
    </row>
    <row r="627" spans="8:8" x14ac:dyDescent="0.25">
      <c r="H627" s="8"/>
    </row>
    <row r="628" spans="8:8" x14ac:dyDescent="0.25">
      <c r="H628" s="8"/>
    </row>
    <row r="629" spans="8:8" x14ac:dyDescent="0.25">
      <c r="H629" s="8"/>
    </row>
    <row r="630" spans="8:8" x14ac:dyDescent="0.25">
      <c r="H630" s="8"/>
    </row>
    <row r="631" spans="8:8" x14ac:dyDescent="0.25">
      <c r="H631" s="8"/>
    </row>
    <row r="632" spans="8:8" x14ac:dyDescent="0.25">
      <c r="H632" s="8"/>
    </row>
    <row r="633" spans="8:8" x14ac:dyDescent="0.25">
      <c r="H633" s="8"/>
    </row>
    <row r="634" spans="8:8" x14ac:dyDescent="0.25">
      <c r="H634" s="8"/>
    </row>
    <row r="635" spans="8:8" x14ac:dyDescent="0.25">
      <c r="H635" s="8"/>
    </row>
    <row r="636" spans="8:8" x14ac:dyDescent="0.25">
      <c r="H636" s="8"/>
    </row>
    <row r="637" spans="8:8" x14ac:dyDescent="0.25">
      <c r="H637" s="8"/>
    </row>
    <row r="638" spans="8:8" x14ac:dyDescent="0.25">
      <c r="H638" s="8"/>
    </row>
    <row r="639" spans="8:8" x14ac:dyDescent="0.25">
      <c r="H639" s="8"/>
    </row>
    <row r="640" spans="8:8" x14ac:dyDescent="0.25">
      <c r="H640" s="8"/>
    </row>
    <row r="641" spans="8:8" x14ac:dyDescent="0.25">
      <c r="H641" s="8"/>
    </row>
    <row r="642" spans="8:8" x14ac:dyDescent="0.25">
      <c r="H642" s="8"/>
    </row>
    <row r="643" spans="8:8" x14ac:dyDescent="0.25">
      <c r="H643" s="8"/>
    </row>
    <row r="644" spans="8:8" x14ac:dyDescent="0.25">
      <c r="H644" s="8"/>
    </row>
    <row r="645" spans="8:8" x14ac:dyDescent="0.25">
      <c r="H645" s="8"/>
    </row>
    <row r="646" spans="8:8" x14ac:dyDescent="0.25">
      <c r="H646" s="8"/>
    </row>
    <row r="647" spans="8:8" x14ac:dyDescent="0.25">
      <c r="H647" s="8"/>
    </row>
    <row r="648" spans="8:8" x14ac:dyDescent="0.25">
      <c r="H648" s="8"/>
    </row>
    <row r="649" spans="8:8" x14ac:dyDescent="0.25">
      <c r="H649" s="8"/>
    </row>
    <row r="650" spans="8:8" x14ac:dyDescent="0.25">
      <c r="H650" s="8"/>
    </row>
    <row r="651" spans="8:8" x14ac:dyDescent="0.25">
      <c r="H651" s="8"/>
    </row>
    <row r="652" spans="8:8" x14ac:dyDescent="0.25">
      <c r="H652" s="8"/>
    </row>
    <row r="653" spans="8:8" x14ac:dyDescent="0.25">
      <c r="H653" s="8"/>
    </row>
    <row r="654" spans="8:8" x14ac:dyDescent="0.25">
      <c r="H654" s="8"/>
    </row>
    <row r="655" spans="8:8" x14ac:dyDescent="0.25">
      <c r="H655" s="8"/>
    </row>
    <row r="656" spans="8:8" x14ac:dyDescent="0.25">
      <c r="H656" s="8"/>
    </row>
    <row r="657" spans="8:8" x14ac:dyDescent="0.25">
      <c r="H657" s="8"/>
    </row>
    <row r="658" spans="8:8" x14ac:dyDescent="0.25">
      <c r="H658" s="8"/>
    </row>
    <row r="659" spans="8:8" x14ac:dyDescent="0.25">
      <c r="H659" s="8"/>
    </row>
    <row r="660" spans="8:8" x14ac:dyDescent="0.25">
      <c r="H660" s="8"/>
    </row>
    <row r="661" spans="8:8" x14ac:dyDescent="0.25">
      <c r="H661" s="8"/>
    </row>
    <row r="662" spans="8:8" x14ac:dyDescent="0.25">
      <c r="H662" s="8"/>
    </row>
    <row r="663" spans="8:8" x14ac:dyDescent="0.25">
      <c r="H663" s="8"/>
    </row>
    <row r="664" spans="8:8" x14ac:dyDescent="0.25">
      <c r="H664" s="8"/>
    </row>
    <row r="665" spans="8:8" x14ac:dyDescent="0.25">
      <c r="H665" s="8"/>
    </row>
    <row r="666" spans="8:8" x14ac:dyDescent="0.25">
      <c r="H666" s="8"/>
    </row>
    <row r="667" spans="8:8" x14ac:dyDescent="0.25">
      <c r="H667" s="8"/>
    </row>
    <row r="668" spans="8:8" x14ac:dyDescent="0.25">
      <c r="H668" s="8"/>
    </row>
    <row r="669" spans="8:8" x14ac:dyDescent="0.25">
      <c r="H669" s="8"/>
    </row>
    <row r="670" spans="8:8" x14ac:dyDescent="0.25">
      <c r="H670" s="8"/>
    </row>
    <row r="671" spans="8:8" x14ac:dyDescent="0.25">
      <c r="H671" s="8"/>
    </row>
    <row r="672" spans="8:8" x14ac:dyDescent="0.25">
      <c r="H672" s="8"/>
    </row>
    <row r="673" spans="8:8" x14ac:dyDescent="0.25">
      <c r="H673" s="8"/>
    </row>
    <row r="674" spans="8:8" x14ac:dyDescent="0.25">
      <c r="H674" s="8"/>
    </row>
    <row r="675" spans="8:8" x14ac:dyDescent="0.25">
      <c r="H675" s="8"/>
    </row>
    <row r="676" spans="8:8" x14ac:dyDescent="0.25">
      <c r="H676" s="8"/>
    </row>
    <row r="677" spans="8:8" x14ac:dyDescent="0.25">
      <c r="H677" s="8"/>
    </row>
    <row r="678" spans="8:8" x14ac:dyDescent="0.25">
      <c r="H678" s="8"/>
    </row>
    <row r="679" spans="8:8" x14ac:dyDescent="0.25">
      <c r="H679" s="8"/>
    </row>
    <row r="680" spans="8:8" x14ac:dyDescent="0.25">
      <c r="H680" s="8"/>
    </row>
    <row r="681" spans="8:8" x14ac:dyDescent="0.25">
      <c r="H681" s="8"/>
    </row>
    <row r="682" spans="8:8" x14ac:dyDescent="0.25">
      <c r="H682" s="8"/>
    </row>
    <row r="683" spans="8:8" x14ac:dyDescent="0.25">
      <c r="H683" s="8"/>
    </row>
    <row r="684" spans="8:8" x14ac:dyDescent="0.25">
      <c r="H684" s="8"/>
    </row>
    <row r="685" spans="8:8" x14ac:dyDescent="0.25">
      <c r="H685" s="8"/>
    </row>
    <row r="686" spans="8:8" x14ac:dyDescent="0.25">
      <c r="H686" s="8"/>
    </row>
    <row r="687" spans="8:8" x14ac:dyDescent="0.25">
      <c r="H687" s="8"/>
    </row>
    <row r="688" spans="8:8" x14ac:dyDescent="0.25">
      <c r="H688" s="8"/>
    </row>
    <row r="689" spans="8:8" x14ac:dyDescent="0.25">
      <c r="H689" s="8"/>
    </row>
    <row r="690" spans="8:8" x14ac:dyDescent="0.25">
      <c r="H690" s="8"/>
    </row>
    <row r="691" spans="8:8" x14ac:dyDescent="0.25">
      <c r="H691" s="8"/>
    </row>
    <row r="692" spans="8:8" x14ac:dyDescent="0.25">
      <c r="H692" s="8"/>
    </row>
    <row r="693" spans="8:8" x14ac:dyDescent="0.25">
      <c r="H693" s="8"/>
    </row>
    <row r="694" spans="8:8" x14ac:dyDescent="0.25">
      <c r="H694" s="8"/>
    </row>
    <row r="695" spans="8:8" x14ac:dyDescent="0.25">
      <c r="H695" s="8"/>
    </row>
    <row r="696" spans="8:8" x14ac:dyDescent="0.25">
      <c r="H696" s="8"/>
    </row>
    <row r="697" spans="8:8" x14ac:dyDescent="0.25">
      <c r="H697" s="8"/>
    </row>
    <row r="698" spans="8:8" x14ac:dyDescent="0.25">
      <c r="H698" s="8"/>
    </row>
    <row r="699" spans="8:8" x14ac:dyDescent="0.25">
      <c r="H699" s="8"/>
    </row>
    <row r="700" spans="8:8" x14ac:dyDescent="0.25">
      <c r="H700" s="8"/>
    </row>
    <row r="701" spans="8:8" x14ac:dyDescent="0.25">
      <c r="H701" s="8"/>
    </row>
    <row r="702" spans="8:8" x14ac:dyDescent="0.25">
      <c r="H702" s="8"/>
    </row>
    <row r="703" spans="8:8" x14ac:dyDescent="0.25">
      <c r="H703" s="8"/>
    </row>
    <row r="704" spans="8:8" x14ac:dyDescent="0.25">
      <c r="H704" s="8"/>
    </row>
    <row r="705" spans="8:8" x14ac:dyDescent="0.25">
      <c r="H705" s="8"/>
    </row>
    <row r="706" spans="8:8" x14ac:dyDescent="0.25">
      <c r="H706" s="8"/>
    </row>
    <row r="707" spans="8:8" x14ac:dyDescent="0.25">
      <c r="H707" s="8"/>
    </row>
    <row r="708" spans="8:8" x14ac:dyDescent="0.25">
      <c r="H708" s="8"/>
    </row>
    <row r="709" spans="8:8" x14ac:dyDescent="0.25">
      <c r="H709" s="8"/>
    </row>
    <row r="710" spans="8:8" x14ac:dyDescent="0.25">
      <c r="H710" s="8"/>
    </row>
    <row r="711" spans="8:8" x14ac:dyDescent="0.25">
      <c r="H711" s="8"/>
    </row>
    <row r="712" spans="8:8" x14ac:dyDescent="0.25">
      <c r="H712" s="8"/>
    </row>
    <row r="713" spans="8:8" x14ac:dyDescent="0.25">
      <c r="H713" s="8"/>
    </row>
    <row r="714" spans="8:8" x14ac:dyDescent="0.25">
      <c r="H714" s="8"/>
    </row>
    <row r="715" spans="8:8" x14ac:dyDescent="0.25">
      <c r="H715" s="8"/>
    </row>
    <row r="716" spans="8:8" x14ac:dyDescent="0.25">
      <c r="H716" s="8"/>
    </row>
    <row r="717" spans="8:8" x14ac:dyDescent="0.25">
      <c r="H717" s="8"/>
    </row>
    <row r="718" spans="8:8" x14ac:dyDescent="0.25">
      <c r="H718" s="8"/>
    </row>
    <row r="719" spans="8:8" x14ac:dyDescent="0.25">
      <c r="H719" s="8"/>
    </row>
    <row r="720" spans="8:8" x14ac:dyDescent="0.25">
      <c r="H720" s="8"/>
    </row>
    <row r="721" spans="8:8" x14ac:dyDescent="0.25">
      <c r="H721" s="8"/>
    </row>
    <row r="722" spans="8:8" x14ac:dyDescent="0.25">
      <c r="H722" s="8"/>
    </row>
    <row r="723" spans="8:8" x14ac:dyDescent="0.25">
      <c r="H723" s="8"/>
    </row>
    <row r="724" spans="8:8" x14ac:dyDescent="0.25">
      <c r="H724" s="8"/>
    </row>
    <row r="725" spans="8:8" x14ac:dyDescent="0.25">
      <c r="H725" s="8"/>
    </row>
    <row r="726" spans="8:8" x14ac:dyDescent="0.25">
      <c r="H726" s="8"/>
    </row>
    <row r="727" spans="8:8" x14ac:dyDescent="0.25">
      <c r="H727" s="8"/>
    </row>
    <row r="728" spans="8:8" x14ac:dyDescent="0.25">
      <c r="H728" s="8"/>
    </row>
    <row r="729" spans="8:8" x14ac:dyDescent="0.25">
      <c r="H729" s="8"/>
    </row>
    <row r="730" spans="8:8" x14ac:dyDescent="0.25">
      <c r="H730" s="8"/>
    </row>
    <row r="731" spans="8:8" x14ac:dyDescent="0.25">
      <c r="H731" s="8"/>
    </row>
    <row r="732" spans="8:8" x14ac:dyDescent="0.25">
      <c r="H732" s="8"/>
    </row>
    <row r="733" spans="8:8" x14ac:dyDescent="0.25">
      <c r="H733" s="8"/>
    </row>
    <row r="734" spans="8:8" x14ac:dyDescent="0.25">
      <c r="H734" s="8"/>
    </row>
    <row r="735" spans="8:8" x14ac:dyDescent="0.25">
      <c r="H735" s="8"/>
    </row>
    <row r="736" spans="8:8" x14ac:dyDescent="0.25">
      <c r="H736" s="8"/>
    </row>
    <row r="737" spans="8:8" x14ac:dyDescent="0.25">
      <c r="H737" s="8"/>
    </row>
    <row r="738" spans="8:8" x14ac:dyDescent="0.25">
      <c r="H738" s="8"/>
    </row>
    <row r="739" spans="8:8" x14ac:dyDescent="0.25">
      <c r="H739" s="8"/>
    </row>
    <row r="740" spans="8:8" x14ac:dyDescent="0.25">
      <c r="H740" s="8"/>
    </row>
    <row r="741" spans="8:8" x14ac:dyDescent="0.25">
      <c r="H741" s="8"/>
    </row>
    <row r="742" spans="8:8" x14ac:dyDescent="0.25">
      <c r="H742" s="8"/>
    </row>
    <row r="743" spans="8:8" x14ac:dyDescent="0.25">
      <c r="H743" s="8"/>
    </row>
    <row r="744" spans="8:8" x14ac:dyDescent="0.25">
      <c r="H744" s="8"/>
    </row>
    <row r="745" spans="8:8" x14ac:dyDescent="0.25">
      <c r="H745" s="8"/>
    </row>
    <row r="746" spans="8:8" x14ac:dyDescent="0.25">
      <c r="H746" s="8"/>
    </row>
    <row r="747" spans="8:8" x14ac:dyDescent="0.25">
      <c r="H747" s="8"/>
    </row>
    <row r="748" spans="8:8" x14ac:dyDescent="0.25">
      <c r="H748" s="8"/>
    </row>
    <row r="749" spans="8:8" x14ac:dyDescent="0.25">
      <c r="H749" s="8"/>
    </row>
    <row r="750" spans="8:8" x14ac:dyDescent="0.25">
      <c r="H750" s="8"/>
    </row>
    <row r="751" spans="8:8" x14ac:dyDescent="0.25">
      <c r="H751" s="8"/>
    </row>
    <row r="752" spans="8:8" x14ac:dyDescent="0.25">
      <c r="H752" s="8"/>
    </row>
    <row r="753" spans="8:8" x14ac:dyDescent="0.25">
      <c r="H753" s="8"/>
    </row>
    <row r="754" spans="8:8" x14ac:dyDescent="0.25">
      <c r="H754" s="8"/>
    </row>
    <row r="755" spans="8:8" x14ac:dyDescent="0.25">
      <c r="H755" s="8"/>
    </row>
    <row r="756" spans="8:8" x14ac:dyDescent="0.25">
      <c r="H756" s="8"/>
    </row>
    <row r="757" spans="8:8" x14ac:dyDescent="0.25">
      <c r="H757" s="8"/>
    </row>
    <row r="758" spans="8:8" x14ac:dyDescent="0.25">
      <c r="H758" s="8"/>
    </row>
    <row r="759" spans="8:8" x14ac:dyDescent="0.25">
      <c r="H759" s="8"/>
    </row>
    <row r="760" spans="8:8" x14ac:dyDescent="0.25">
      <c r="H760" s="8"/>
    </row>
    <row r="761" spans="8:8" x14ac:dyDescent="0.25">
      <c r="H761" s="8"/>
    </row>
    <row r="762" spans="8:8" x14ac:dyDescent="0.25">
      <c r="H762" s="8"/>
    </row>
    <row r="763" spans="8:8" x14ac:dyDescent="0.25">
      <c r="H763" s="8"/>
    </row>
    <row r="764" spans="8:8" x14ac:dyDescent="0.25">
      <c r="H764" s="8"/>
    </row>
    <row r="765" spans="8:8" x14ac:dyDescent="0.25">
      <c r="H765" s="8"/>
    </row>
    <row r="766" spans="8:8" x14ac:dyDescent="0.25">
      <c r="H766" s="8"/>
    </row>
    <row r="767" spans="8:8" x14ac:dyDescent="0.25">
      <c r="H767" s="8"/>
    </row>
    <row r="768" spans="8:8" x14ac:dyDescent="0.25">
      <c r="H768" s="8"/>
    </row>
    <row r="769" spans="8:8" x14ac:dyDescent="0.25">
      <c r="H769" s="8"/>
    </row>
    <row r="770" spans="8:8" x14ac:dyDescent="0.25">
      <c r="H770" s="8"/>
    </row>
    <row r="771" spans="8:8" x14ac:dyDescent="0.25">
      <c r="H771" s="8"/>
    </row>
    <row r="772" spans="8:8" x14ac:dyDescent="0.25">
      <c r="H772" s="8"/>
    </row>
    <row r="773" spans="8:8" x14ac:dyDescent="0.25">
      <c r="H773" s="8"/>
    </row>
    <row r="774" spans="8:8" x14ac:dyDescent="0.25">
      <c r="H774" s="8"/>
    </row>
    <row r="775" spans="8:8" x14ac:dyDescent="0.25">
      <c r="H775" s="8"/>
    </row>
    <row r="776" spans="8:8" x14ac:dyDescent="0.25">
      <c r="H776" s="8"/>
    </row>
    <row r="777" spans="8:8" x14ac:dyDescent="0.25">
      <c r="H777" s="8"/>
    </row>
    <row r="778" spans="8:8" x14ac:dyDescent="0.25">
      <c r="H778" s="8"/>
    </row>
    <row r="779" spans="8:8" x14ac:dyDescent="0.25">
      <c r="H779" s="8"/>
    </row>
    <row r="780" spans="8:8" x14ac:dyDescent="0.25">
      <c r="H780" s="8"/>
    </row>
    <row r="781" spans="8:8" x14ac:dyDescent="0.25">
      <c r="H781" s="8"/>
    </row>
    <row r="782" spans="8:8" x14ac:dyDescent="0.25">
      <c r="H782" s="8"/>
    </row>
    <row r="783" spans="8:8" x14ac:dyDescent="0.25">
      <c r="H783" s="8"/>
    </row>
    <row r="784" spans="8:8" x14ac:dyDescent="0.25">
      <c r="H784" s="8"/>
    </row>
    <row r="785" spans="8:8" x14ac:dyDescent="0.25">
      <c r="H785" s="8"/>
    </row>
    <row r="786" spans="8:8" x14ac:dyDescent="0.25">
      <c r="H786" s="8"/>
    </row>
    <row r="787" spans="8:8" x14ac:dyDescent="0.25">
      <c r="H787" s="8"/>
    </row>
    <row r="788" spans="8:8" x14ac:dyDescent="0.25">
      <c r="H788" s="8"/>
    </row>
    <row r="789" spans="8:8" x14ac:dyDescent="0.25">
      <c r="H789" s="8"/>
    </row>
    <row r="790" spans="8:8" x14ac:dyDescent="0.25">
      <c r="H790" s="8"/>
    </row>
    <row r="791" spans="8:8" x14ac:dyDescent="0.25">
      <c r="H791" s="8"/>
    </row>
    <row r="792" spans="8:8" x14ac:dyDescent="0.25">
      <c r="H792" s="8"/>
    </row>
    <row r="793" spans="8:8" x14ac:dyDescent="0.25">
      <c r="H793" s="8"/>
    </row>
    <row r="794" spans="8:8" x14ac:dyDescent="0.25">
      <c r="H794" s="8"/>
    </row>
    <row r="795" spans="8:8" x14ac:dyDescent="0.25">
      <c r="H795" s="8"/>
    </row>
    <row r="796" spans="8:8" x14ac:dyDescent="0.25">
      <c r="H796" s="8"/>
    </row>
    <row r="797" spans="8:8" x14ac:dyDescent="0.25">
      <c r="H797" s="8"/>
    </row>
    <row r="798" spans="8:8" x14ac:dyDescent="0.25">
      <c r="H798" s="8"/>
    </row>
    <row r="799" spans="8:8" x14ac:dyDescent="0.25">
      <c r="H799" s="8"/>
    </row>
    <row r="800" spans="8:8" x14ac:dyDescent="0.25">
      <c r="H800" s="8"/>
    </row>
    <row r="801" spans="8:8" x14ac:dyDescent="0.25">
      <c r="H801" s="8"/>
    </row>
    <row r="802" spans="8:8" x14ac:dyDescent="0.25">
      <c r="H802" s="8"/>
    </row>
    <row r="803" spans="8:8" x14ac:dyDescent="0.25">
      <c r="H803" s="8"/>
    </row>
    <row r="804" spans="8:8" x14ac:dyDescent="0.25">
      <c r="H804" s="8"/>
    </row>
    <row r="805" spans="8:8" x14ac:dyDescent="0.25">
      <c r="H805" s="8"/>
    </row>
    <row r="806" spans="8:8" x14ac:dyDescent="0.25">
      <c r="H806" s="8"/>
    </row>
    <row r="807" spans="8:8" x14ac:dyDescent="0.25">
      <c r="H807" s="8"/>
    </row>
    <row r="808" spans="8:8" x14ac:dyDescent="0.25">
      <c r="H808" s="8"/>
    </row>
    <row r="809" spans="8:8" x14ac:dyDescent="0.25">
      <c r="H809" s="8"/>
    </row>
    <row r="810" spans="8:8" x14ac:dyDescent="0.25">
      <c r="H810" s="8"/>
    </row>
    <row r="811" spans="8:8" x14ac:dyDescent="0.25">
      <c r="H811" s="8"/>
    </row>
    <row r="812" spans="8:8" x14ac:dyDescent="0.25">
      <c r="H812" s="8"/>
    </row>
    <row r="813" spans="8:8" x14ac:dyDescent="0.25">
      <c r="H813" s="8"/>
    </row>
    <row r="814" spans="8:8" x14ac:dyDescent="0.25">
      <c r="H814" s="8"/>
    </row>
    <row r="815" spans="8:8" x14ac:dyDescent="0.25">
      <c r="H815" s="8"/>
    </row>
    <row r="816" spans="8:8" x14ac:dyDescent="0.25">
      <c r="H816" s="8"/>
    </row>
    <row r="817" spans="8:8" x14ac:dyDescent="0.25">
      <c r="H817" s="8"/>
    </row>
    <row r="818" spans="8:8" x14ac:dyDescent="0.25">
      <c r="H818" s="8"/>
    </row>
    <row r="819" spans="8:8" x14ac:dyDescent="0.25">
      <c r="H819" s="8"/>
    </row>
    <row r="820" spans="8:8" x14ac:dyDescent="0.25">
      <c r="H820" s="8"/>
    </row>
    <row r="821" spans="8:8" x14ac:dyDescent="0.25">
      <c r="H821" s="8"/>
    </row>
    <row r="822" spans="8:8" x14ac:dyDescent="0.25">
      <c r="H822" s="8"/>
    </row>
    <row r="823" spans="8:8" x14ac:dyDescent="0.25">
      <c r="H823" s="8"/>
    </row>
    <row r="824" spans="8:8" x14ac:dyDescent="0.25">
      <c r="H824" s="8"/>
    </row>
    <row r="825" spans="8:8" x14ac:dyDescent="0.25">
      <c r="H825" s="8"/>
    </row>
    <row r="826" spans="8:8" x14ac:dyDescent="0.25">
      <c r="H826" s="8"/>
    </row>
    <row r="827" spans="8:8" x14ac:dyDescent="0.25">
      <c r="H827" s="8"/>
    </row>
    <row r="828" spans="8:8" x14ac:dyDescent="0.25">
      <c r="H828" s="8"/>
    </row>
    <row r="829" spans="8:8" x14ac:dyDescent="0.25">
      <c r="H829" s="8"/>
    </row>
    <row r="830" spans="8:8" x14ac:dyDescent="0.25">
      <c r="H830" s="8"/>
    </row>
    <row r="831" spans="8:8" x14ac:dyDescent="0.25">
      <c r="H831" s="8"/>
    </row>
    <row r="832" spans="8:8" x14ac:dyDescent="0.25">
      <c r="H832" s="8"/>
    </row>
    <row r="833" spans="8:8" x14ac:dyDescent="0.25">
      <c r="H833" s="8"/>
    </row>
    <row r="834" spans="8:8" x14ac:dyDescent="0.25">
      <c r="H834" s="8"/>
    </row>
    <row r="835" spans="8:8" x14ac:dyDescent="0.25">
      <c r="H835" s="8"/>
    </row>
    <row r="836" spans="8:8" x14ac:dyDescent="0.25">
      <c r="H836" s="8"/>
    </row>
    <row r="837" spans="8:8" x14ac:dyDescent="0.25">
      <c r="H837" s="8"/>
    </row>
    <row r="838" spans="8:8" x14ac:dyDescent="0.25">
      <c r="H838" s="8"/>
    </row>
    <row r="839" spans="8:8" x14ac:dyDescent="0.25">
      <c r="H839" s="8"/>
    </row>
    <row r="840" spans="8:8" x14ac:dyDescent="0.25">
      <c r="H840" s="8"/>
    </row>
    <row r="841" spans="8:8" x14ac:dyDescent="0.25">
      <c r="H841" s="8"/>
    </row>
    <row r="842" spans="8:8" x14ac:dyDescent="0.25">
      <c r="H842" s="8"/>
    </row>
    <row r="843" spans="8:8" x14ac:dyDescent="0.25">
      <c r="H843" s="8"/>
    </row>
    <row r="844" spans="8:8" x14ac:dyDescent="0.25">
      <c r="H844" s="8"/>
    </row>
    <row r="845" spans="8:8" x14ac:dyDescent="0.25">
      <c r="H845" s="8"/>
    </row>
    <row r="846" spans="8:8" x14ac:dyDescent="0.25">
      <c r="H846" s="8"/>
    </row>
    <row r="847" spans="8:8" x14ac:dyDescent="0.25">
      <c r="H847" s="8"/>
    </row>
    <row r="848" spans="8:8" x14ac:dyDescent="0.25">
      <c r="H848" s="8"/>
    </row>
    <row r="849" spans="8:8" x14ac:dyDescent="0.25">
      <c r="H849" s="8"/>
    </row>
    <row r="850" spans="8:8" x14ac:dyDescent="0.25">
      <c r="H850" s="8"/>
    </row>
    <row r="851" spans="8:8" x14ac:dyDescent="0.25">
      <c r="H851" s="8"/>
    </row>
    <row r="852" spans="8:8" x14ac:dyDescent="0.25">
      <c r="H852" s="8"/>
    </row>
    <row r="853" spans="8:8" x14ac:dyDescent="0.25">
      <c r="H853" s="8"/>
    </row>
    <row r="854" spans="8:8" x14ac:dyDescent="0.25">
      <c r="H854" s="8"/>
    </row>
    <row r="855" spans="8:8" x14ac:dyDescent="0.25">
      <c r="H855" s="8"/>
    </row>
    <row r="856" spans="8:8" x14ac:dyDescent="0.25">
      <c r="H856" s="8"/>
    </row>
    <row r="857" spans="8:8" x14ac:dyDescent="0.25">
      <c r="H857" s="8"/>
    </row>
    <row r="858" spans="8:8" x14ac:dyDescent="0.25">
      <c r="H858" s="8"/>
    </row>
    <row r="859" spans="8:8" x14ac:dyDescent="0.25">
      <c r="H859" s="8"/>
    </row>
    <row r="860" spans="8:8" x14ac:dyDescent="0.25">
      <c r="H860" s="8"/>
    </row>
    <row r="861" spans="8:8" x14ac:dyDescent="0.25">
      <c r="H861" s="8"/>
    </row>
    <row r="862" spans="8:8" x14ac:dyDescent="0.25">
      <c r="H862" s="8"/>
    </row>
    <row r="863" spans="8:8" x14ac:dyDescent="0.25">
      <c r="H863" s="8"/>
    </row>
    <row r="864" spans="8:8" x14ac:dyDescent="0.25">
      <c r="H864" s="8"/>
    </row>
    <row r="865" spans="8:8" x14ac:dyDescent="0.25">
      <c r="H865" s="8"/>
    </row>
    <row r="866" spans="8:8" x14ac:dyDescent="0.25">
      <c r="H866" s="8"/>
    </row>
    <row r="867" spans="8:8" x14ac:dyDescent="0.25">
      <c r="H867" s="8"/>
    </row>
    <row r="868" spans="8:8" x14ac:dyDescent="0.25">
      <c r="H868" s="8"/>
    </row>
    <row r="869" spans="8:8" x14ac:dyDescent="0.25">
      <c r="H869" s="8"/>
    </row>
    <row r="870" spans="8:8" x14ac:dyDescent="0.25">
      <c r="H870" s="8"/>
    </row>
    <row r="871" spans="8:8" x14ac:dyDescent="0.25">
      <c r="H871" s="8"/>
    </row>
    <row r="872" spans="8:8" x14ac:dyDescent="0.25">
      <c r="H872" s="8"/>
    </row>
    <row r="873" spans="8:8" x14ac:dyDescent="0.25">
      <c r="H873" s="8"/>
    </row>
    <row r="874" spans="8:8" x14ac:dyDescent="0.25">
      <c r="H874" s="8"/>
    </row>
    <row r="875" spans="8:8" x14ac:dyDescent="0.25">
      <c r="H875" s="8"/>
    </row>
    <row r="876" spans="8:8" x14ac:dyDescent="0.25">
      <c r="H876" s="8"/>
    </row>
    <row r="877" spans="8:8" x14ac:dyDescent="0.25">
      <c r="H877" s="8"/>
    </row>
    <row r="878" spans="8:8" x14ac:dyDescent="0.25">
      <c r="H878" s="8"/>
    </row>
    <row r="879" spans="8:8" x14ac:dyDescent="0.25">
      <c r="H879" s="8"/>
    </row>
    <row r="880" spans="8:8" x14ac:dyDescent="0.25">
      <c r="H880" s="8"/>
    </row>
    <row r="881" spans="8:8" x14ac:dyDescent="0.25">
      <c r="H881" s="8"/>
    </row>
    <row r="882" spans="8:8" x14ac:dyDescent="0.25">
      <c r="H882" s="8"/>
    </row>
    <row r="883" spans="8:8" x14ac:dyDescent="0.25">
      <c r="H883" s="8"/>
    </row>
    <row r="884" spans="8:8" x14ac:dyDescent="0.25">
      <c r="H884" s="8"/>
    </row>
    <row r="885" spans="8:8" x14ac:dyDescent="0.25">
      <c r="H885" s="8"/>
    </row>
    <row r="886" spans="8:8" x14ac:dyDescent="0.25">
      <c r="H886" s="8"/>
    </row>
    <row r="887" spans="8:8" x14ac:dyDescent="0.25">
      <c r="H887" s="8"/>
    </row>
    <row r="888" spans="8:8" x14ac:dyDescent="0.25">
      <c r="H888" s="8"/>
    </row>
    <row r="889" spans="8:8" x14ac:dyDescent="0.25">
      <c r="H889" s="8"/>
    </row>
    <row r="890" spans="8:8" x14ac:dyDescent="0.25">
      <c r="H890" s="8"/>
    </row>
    <row r="891" spans="8:8" x14ac:dyDescent="0.25">
      <c r="H891" s="8"/>
    </row>
    <row r="892" spans="8:8" x14ac:dyDescent="0.25">
      <c r="H892" s="8"/>
    </row>
    <row r="893" spans="8:8" x14ac:dyDescent="0.25">
      <c r="H893" s="8"/>
    </row>
    <row r="894" spans="8:8" x14ac:dyDescent="0.25">
      <c r="H894" s="8"/>
    </row>
    <row r="895" spans="8:8" x14ac:dyDescent="0.25">
      <c r="H895" s="8"/>
    </row>
    <row r="896" spans="8:8" x14ac:dyDescent="0.25">
      <c r="H896" s="8"/>
    </row>
    <row r="897" spans="8:8" x14ac:dyDescent="0.25">
      <c r="H897" s="8"/>
    </row>
    <row r="898" spans="8:8" x14ac:dyDescent="0.25">
      <c r="H898" s="8"/>
    </row>
    <row r="899" spans="8:8" x14ac:dyDescent="0.25">
      <c r="H899" s="8"/>
    </row>
    <row r="900" spans="8:8" x14ac:dyDescent="0.25">
      <c r="H900" s="8"/>
    </row>
    <row r="901" spans="8:8" x14ac:dyDescent="0.25">
      <c r="H901" s="8"/>
    </row>
    <row r="902" spans="8:8" x14ac:dyDescent="0.25">
      <c r="H902" s="8"/>
    </row>
    <row r="903" spans="8:8" x14ac:dyDescent="0.25">
      <c r="H903" s="8"/>
    </row>
    <row r="904" spans="8:8" x14ac:dyDescent="0.25">
      <c r="H904" s="8"/>
    </row>
    <row r="905" spans="8:8" x14ac:dyDescent="0.25">
      <c r="H905" s="8"/>
    </row>
    <row r="906" spans="8:8" x14ac:dyDescent="0.25">
      <c r="H906" s="8"/>
    </row>
    <row r="907" spans="8:8" x14ac:dyDescent="0.25">
      <c r="H907" s="8"/>
    </row>
    <row r="908" spans="8:8" x14ac:dyDescent="0.25">
      <c r="H908" s="8"/>
    </row>
    <row r="909" spans="8:8" x14ac:dyDescent="0.25">
      <c r="H909" s="8"/>
    </row>
    <row r="910" spans="8:8" x14ac:dyDescent="0.25">
      <c r="H910" s="8"/>
    </row>
    <row r="911" spans="8:8" x14ac:dyDescent="0.25">
      <c r="H911" s="8"/>
    </row>
    <row r="912" spans="8:8" x14ac:dyDescent="0.25">
      <c r="H912" s="8"/>
    </row>
    <row r="913" spans="8:8" x14ac:dyDescent="0.25">
      <c r="H913" s="8"/>
    </row>
    <row r="914" spans="8:8" x14ac:dyDescent="0.25">
      <c r="H914" s="8"/>
    </row>
    <row r="915" spans="8:8" x14ac:dyDescent="0.25">
      <c r="H915" s="8"/>
    </row>
    <row r="916" spans="8:8" x14ac:dyDescent="0.25">
      <c r="H916" s="8"/>
    </row>
    <row r="917" spans="8:8" x14ac:dyDescent="0.25">
      <c r="H917" s="8"/>
    </row>
    <row r="918" spans="8:8" x14ac:dyDescent="0.25">
      <c r="H918" s="8"/>
    </row>
    <row r="919" spans="8:8" x14ac:dyDescent="0.25">
      <c r="H919" s="8"/>
    </row>
    <row r="920" spans="8:8" x14ac:dyDescent="0.25">
      <c r="H920" s="8"/>
    </row>
    <row r="921" spans="8:8" x14ac:dyDescent="0.25">
      <c r="H921" s="8"/>
    </row>
    <row r="922" spans="8:8" x14ac:dyDescent="0.25">
      <c r="H922" s="8"/>
    </row>
    <row r="923" spans="8:8" x14ac:dyDescent="0.25">
      <c r="H923" s="8"/>
    </row>
    <row r="924" spans="8:8" x14ac:dyDescent="0.25">
      <c r="H924" s="8"/>
    </row>
    <row r="925" spans="8:8" x14ac:dyDescent="0.25">
      <c r="H925" s="8"/>
    </row>
    <row r="926" spans="8:8" x14ac:dyDescent="0.25">
      <c r="H926" s="8"/>
    </row>
    <row r="927" spans="8:8" x14ac:dyDescent="0.25">
      <c r="H927" s="8"/>
    </row>
    <row r="928" spans="8:8" x14ac:dyDescent="0.25">
      <c r="H928" s="8"/>
    </row>
    <row r="929" spans="8:8" x14ac:dyDescent="0.25">
      <c r="H929" s="8"/>
    </row>
    <row r="930" spans="8:8" x14ac:dyDescent="0.25">
      <c r="H930" s="8"/>
    </row>
    <row r="931" spans="8:8" x14ac:dyDescent="0.25">
      <c r="H931" s="8"/>
    </row>
    <row r="932" spans="8:8" x14ac:dyDescent="0.25">
      <c r="H932" s="8"/>
    </row>
    <row r="933" spans="8:8" x14ac:dyDescent="0.25">
      <c r="H933" s="8"/>
    </row>
    <row r="934" spans="8:8" x14ac:dyDescent="0.25">
      <c r="H934" s="8"/>
    </row>
    <row r="935" spans="8:8" x14ac:dyDescent="0.25">
      <c r="H935" s="8"/>
    </row>
    <row r="936" spans="8:8" x14ac:dyDescent="0.25">
      <c r="H936" s="8"/>
    </row>
    <row r="937" spans="8:8" x14ac:dyDescent="0.25">
      <c r="H937" s="8"/>
    </row>
    <row r="938" spans="8:8" x14ac:dyDescent="0.25">
      <c r="H938" s="8"/>
    </row>
    <row r="939" spans="8:8" x14ac:dyDescent="0.25">
      <c r="H939" s="8"/>
    </row>
    <row r="940" spans="8:8" x14ac:dyDescent="0.25">
      <c r="H940" s="8"/>
    </row>
    <row r="941" spans="8:8" x14ac:dyDescent="0.25">
      <c r="H941" s="8"/>
    </row>
    <row r="942" spans="8:8" x14ac:dyDescent="0.25">
      <c r="H942" s="8"/>
    </row>
    <row r="943" spans="8:8" x14ac:dyDescent="0.25">
      <c r="H943" s="8"/>
    </row>
    <row r="944" spans="8:8" x14ac:dyDescent="0.25">
      <c r="H944" s="8"/>
    </row>
    <row r="945" spans="8:8" x14ac:dyDescent="0.25">
      <c r="H945" s="8"/>
    </row>
    <row r="946" spans="8:8" x14ac:dyDescent="0.25">
      <c r="H946" s="8"/>
    </row>
    <row r="947" spans="8:8" x14ac:dyDescent="0.25">
      <c r="H947" s="8"/>
    </row>
    <row r="948" spans="8:8" x14ac:dyDescent="0.25">
      <c r="H948" s="8"/>
    </row>
    <row r="949" spans="8:8" x14ac:dyDescent="0.25">
      <c r="H949" s="8"/>
    </row>
    <row r="950" spans="8:8" x14ac:dyDescent="0.25">
      <c r="H950" s="8"/>
    </row>
    <row r="951" spans="8:8" x14ac:dyDescent="0.25">
      <c r="H951" s="8"/>
    </row>
    <row r="952" spans="8:8" x14ac:dyDescent="0.25">
      <c r="H952" s="8"/>
    </row>
    <row r="953" spans="8:8" x14ac:dyDescent="0.25">
      <c r="H953" s="8"/>
    </row>
    <row r="954" spans="8:8" x14ac:dyDescent="0.25">
      <c r="H954" s="8"/>
    </row>
    <row r="955" spans="8:8" x14ac:dyDescent="0.25">
      <c r="H955" s="8"/>
    </row>
    <row r="956" spans="8:8" x14ac:dyDescent="0.25">
      <c r="H956" s="8"/>
    </row>
    <row r="957" spans="8:8" x14ac:dyDescent="0.25">
      <c r="H957" s="8"/>
    </row>
    <row r="958" spans="8:8" x14ac:dyDescent="0.25">
      <c r="H958" s="8"/>
    </row>
    <row r="959" spans="8:8" x14ac:dyDescent="0.25">
      <c r="H959" s="8"/>
    </row>
    <row r="960" spans="8:8" x14ac:dyDescent="0.25">
      <c r="H960" s="8"/>
    </row>
    <row r="961" spans="8:8" x14ac:dyDescent="0.25">
      <c r="H961" s="8"/>
    </row>
    <row r="962" spans="8:8" x14ac:dyDescent="0.25">
      <c r="H962" s="8"/>
    </row>
    <row r="963" spans="8:8" x14ac:dyDescent="0.25">
      <c r="H963" s="8"/>
    </row>
    <row r="964" spans="8:8" x14ac:dyDescent="0.25">
      <c r="H964" s="8"/>
    </row>
    <row r="965" spans="8:8" x14ac:dyDescent="0.25">
      <c r="H965" s="8"/>
    </row>
    <row r="966" spans="8:8" x14ac:dyDescent="0.25">
      <c r="H966" s="8"/>
    </row>
    <row r="967" spans="8:8" x14ac:dyDescent="0.25">
      <c r="H967" s="8"/>
    </row>
    <row r="968" spans="8:8" x14ac:dyDescent="0.25">
      <c r="H968" s="8"/>
    </row>
    <row r="969" spans="8:8" x14ac:dyDescent="0.25">
      <c r="H969" s="8"/>
    </row>
    <row r="970" spans="8:8" x14ac:dyDescent="0.25">
      <c r="H970" s="8"/>
    </row>
    <row r="971" spans="8:8" x14ac:dyDescent="0.25">
      <c r="H971" s="8"/>
    </row>
    <row r="972" spans="8:8" x14ac:dyDescent="0.25">
      <c r="H972" s="8"/>
    </row>
    <row r="973" spans="8:8" x14ac:dyDescent="0.25">
      <c r="H973" s="8"/>
    </row>
    <row r="974" spans="8:8" x14ac:dyDescent="0.25">
      <c r="H974" s="8"/>
    </row>
    <row r="975" spans="8:8" x14ac:dyDescent="0.25">
      <c r="H975" s="8"/>
    </row>
    <row r="976" spans="8:8" x14ac:dyDescent="0.25">
      <c r="H976" s="8"/>
    </row>
    <row r="977" spans="8:8" x14ac:dyDescent="0.25">
      <c r="H977" s="8"/>
    </row>
    <row r="978" spans="8:8" x14ac:dyDescent="0.25">
      <c r="H978" s="8"/>
    </row>
    <row r="979" spans="8:8" x14ac:dyDescent="0.25">
      <c r="H979" s="8"/>
    </row>
    <row r="980" spans="8:8" x14ac:dyDescent="0.25">
      <c r="H980" s="8"/>
    </row>
    <row r="981" spans="8:8" x14ac:dyDescent="0.25">
      <c r="H981" s="8"/>
    </row>
    <row r="982" spans="8:8" x14ac:dyDescent="0.25">
      <c r="H982" s="8"/>
    </row>
    <row r="983" spans="8:8" x14ac:dyDescent="0.25">
      <c r="H983" s="8"/>
    </row>
    <row r="984" spans="8:8" x14ac:dyDescent="0.25">
      <c r="H984" s="8"/>
    </row>
    <row r="985" spans="8:8" x14ac:dyDescent="0.25">
      <c r="H985" s="8"/>
    </row>
    <row r="986" spans="8:8" x14ac:dyDescent="0.25">
      <c r="H986" s="8"/>
    </row>
    <row r="987" spans="8:8" x14ac:dyDescent="0.25">
      <c r="H987" s="8"/>
    </row>
    <row r="988" spans="8:8" x14ac:dyDescent="0.25">
      <c r="H988" s="8"/>
    </row>
    <row r="989" spans="8:8" x14ac:dyDescent="0.25">
      <c r="H989" s="8"/>
    </row>
    <row r="990" spans="8:8" x14ac:dyDescent="0.25">
      <c r="H990" s="8"/>
    </row>
    <row r="991" spans="8:8" x14ac:dyDescent="0.25">
      <c r="H991" s="8"/>
    </row>
    <row r="992" spans="8:8" x14ac:dyDescent="0.25">
      <c r="H992" s="8"/>
    </row>
    <row r="993" spans="8:8" x14ac:dyDescent="0.25">
      <c r="H993" s="8"/>
    </row>
    <row r="994" spans="8:8" x14ac:dyDescent="0.25">
      <c r="H994" s="8"/>
    </row>
    <row r="995" spans="8:8" x14ac:dyDescent="0.25">
      <c r="H995" s="8"/>
    </row>
    <row r="996" spans="8:8" x14ac:dyDescent="0.25">
      <c r="H996" s="8"/>
    </row>
    <row r="997" spans="8:8" x14ac:dyDescent="0.25">
      <c r="H997" s="8"/>
    </row>
    <row r="998" spans="8:8" x14ac:dyDescent="0.25">
      <c r="H998" s="8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1FEBD2-B011-B441-ADD5-DE43E7596985}">
  <sheetPr codeName="Sheet12">
    <tabColor rgb="FF9900FF"/>
    <outlinePr summaryBelow="0" summaryRight="0"/>
  </sheetPr>
  <dimension ref="A1:AA692"/>
  <sheetViews>
    <sheetView workbookViewId="0">
      <selection activeCell="G16" sqref="G16"/>
    </sheetView>
  </sheetViews>
  <sheetFormatPr baseColWidth="10" defaultColWidth="12.6640625" defaultRowHeight="19" x14ac:dyDescent="0.25"/>
  <cols>
    <col min="1" max="1" width="32.1640625" style="4" bestFit="1" customWidth="1"/>
    <col min="2" max="2" width="8.6640625" style="4" bestFit="1" customWidth="1"/>
    <col min="3" max="3" width="8.33203125" style="4" bestFit="1" customWidth="1"/>
    <col min="4" max="4" width="18.5" style="4" bestFit="1" customWidth="1"/>
    <col min="5" max="5" width="5.6640625" style="4" bestFit="1" customWidth="1"/>
    <col min="6" max="6" width="14.33203125" style="4" bestFit="1" customWidth="1"/>
    <col min="7" max="7" width="18.1640625" style="4" bestFit="1" customWidth="1"/>
    <col min="8" max="8" width="12.83203125" style="4" bestFit="1" customWidth="1"/>
    <col min="9" max="9" width="12.6640625" style="4"/>
    <col min="10" max="10" width="12.5" style="4" bestFit="1" customWidth="1"/>
    <col min="11" max="11" width="8.5" style="4" bestFit="1" customWidth="1"/>
    <col min="12" max="12" width="12.6640625" style="4"/>
    <col min="13" max="13" width="8.6640625" style="4" bestFit="1" customWidth="1"/>
    <col min="14" max="16384" width="12.6640625" style="4"/>
  </cols>
  <sheetData>
    <row r="1" spans="1:27" ht="20" thickBot="1" x14ac:dyDescent="0.3">
      <c r="A1" s="1" t="s">
        <v>0</v>
      </c>
      <c r="B1" s="1" t="s">
        <v>1</v>
      </c>
      <c r="C1" s="1" t="s">
        <v>97</v>
      </c>
      <c r="D1" s="1" t="s">
        <v>2</v>
      </c>
      <c r="E1" s="1" t="s">
        <v>3</v>
      </c>
      <c r="F1" s="1" t="s">
        <v>670</v>
      </c>
      <c r="G1" s="3" t="s">
        <v>11</v>
      </c>
      <c r="H1" s="3" t="s">
        <v>12</v>
      </c>
      <c r="I1" s="3"/>
      <c r="J1" s="3"/>
      <c r="K1" s="3"/>
      <c r="L1" s="3"/>
      <c r="M1" s="3"/>
      <c r="N1" s="3"/>
      <c r="O1" s="3"/>
      <c r="P1" s="3"/>
      <c r="Q1" s="3"/>
      <c r="R1" s="3"/>
      <c r="S1" s="3"/>
      <c r="T1" s="3"/>
      <c r="U1" s="3"/>
      <c r="V1" s="3"/>
      <c r="W1" s="3"/>
      <c r="X1" s="3"/>
      <c r="Y1" s="3"/>
      <c r="Z1" s="3"/>
      <c r="AA1" s="3"/>
    </row>
    <row r="2" spans="1:27" ht="20" thickBot="1" x14ac:dyDescent="0.3">
      <c r="A2" s="4" t="s">
        <v>108</v>
      </c>
      <c r="B2" s="4" t="s">
        <v>29</v>
      </c>
      <c r="C2" s="4" t="s">
        <v>109</v>
      </c>
      <c r="D2" s="4" t="s">
        <v>50</v>
      </c>
      <c r="E2" s="4">
        <v>21</v>
      </c>
      <c r="F2" s="4">
        <v>0.53</v>
      </c>
      <c r="G2" s="6">
        <f>VLOOKUP(F2,$K$10:$M$15,3,1)</f>
        <v>2</v>
      </c>
      <c r="H2" s="3" t="str">
        <f>_xlfn.IFS(G2=0,"☆",G2=0.5,"½", G2=1,"★",G2 =1.5,"★½", G2 =2.5,"★★½", G2=2,"★★", G2=3,"★★★", G2 =3.5,"★★★½",G2=4,"★★★★", G2 =4.5,"★★★★½", G2=5,"★★★★★")</f>
        <v>★★</v>
      </c>
      <c r="I2" s="3"/>
      <c r="J2" s="9" t="s">
        <v>671</v>
      </c>
      <c r="K2" s="9" t="s">
        <v>672</v>
      </c>
    </row>
    <row r="3" spans="1:27" ht="20" thickBot="1" x14ac:dyDescent="0.3">
      <c r="A3" s="4" t="s">
        <v>673</v>
      </c>
      <c r="B3" s="4" t="s">
        <v>29</v>
      </c>
      <c r="C3" s="4" t="s">
        <v>584</v>
      </c>
      <c r="D3" s="4" t="s">
        <v>21</v>
      </c>
      <c r="E3" s="4">
        <v>23</v>
      </c>
      <c r="F3" s="4">
        <v>0</v>
      </c>
      <c r="G3" s="6">
        <f t="shared" ref="G3:G66" si="0">VLOOKUP(F3,$K$10:$M$15,3,1)</f>
        <v>1</v>
      </c>
      <c r="H3" s="3" t="str">
        <f t="shared" ref="H3:H66" si="1">_xlfn.IFS(G3=0,"☆",G3=0.5,"½", G3=1,"★",G3 =1.5,"★½", G3 =2.5,"★★½", G3=2,"★★", G3=3,"★★★", G3 =3.5,"★★★½",G3=4,"★★★★", G3 =4.5,"★★★★½", G3=5,"★★★★★")</f>
        <v>★</v>
      </c>
      <c r="I3" s="24"/>
      <c r="J3" s="25">
        <v>0.2</v>
      </c>
      <c r="K3" s="10">
        <f>PERCENTILE($F$2:$F$692,0.27)</f>
        <v>0.23600000000000024</v>
      </c>
    </row>
    <row r="4" spans="1:27" ht="20" thickBot="1" x14ac:dyDescent="0.3">
      <c r="A4" s="4" t="s">
        <v>583</v>
      </c>
      <c r="B4" s="4" t="s">
        <v>127</v>
      </c>
      <c r="C4" s="4" t="s">
        <v>109</v>
      </c>
      <c r="D4" s="4" t="s">
        <v>33</v>
      </c>
      <c r="E4" s="4">
        <v>25</v>
      </c>
      <c r="F4" s="4">
        <v>1.03</v>
      </c>
      <c r="G4" s="6">
        <f t="shared" si="0"/>
        <v>3</v>
      </c>
      <c r="H4" s="3" t="str">
        <f t="shared" si="1"/>
        <v>★★★</v>
      </c>
      <c r="I4" s="24"/>
      <c r="J4" s="25">
        <v>0.4</v>
      </c>
      <c r="K4" s="10">
        <f>PERCENTILE($F$2:$F$692,0.4)</f>
        <v>0.86</v>
      </c>
    </row>
    <row r="5" spans="1:27" ht="20" thickBot="1" x14ac:dyDescent="0.3">
      <c r="A5" s="4" t="s">
        <v>674</v>
      </c>
      <c r="B5" s="4" t="s">
        <v>55</v>
      </c>
      <c r="C5" s="4" t="s">
        <v>109</v>
      </c>
      <c r="D5" s="4" t="s">
        <v>30</v>
      </c>
      <c r="E5" s="4">
        <v>17</v>
      </c>
      <c r="F5" s="4">
        <v>0</v>
      </c>
      <c r="G5" s="6">
        <f t="shared" si="0"/>
        <v>1</v>
      </c>
      <c r="H5" s="3" t="str">
        <f t="shared" si="1"/>
        <v>★</v>
      </c>
      <c r="I5" s="24"/>
      <c r="J5" s="25">
        <v>0.6</v>
      </c>
      <c r="K5" s="10">
        <f>PERCENTILE($F$2:$F$692,0.6)</f>
        <v>1.27</v>
      </c>
    </row>
    <row r="6" spans="1:27" ht="20" thickBot="1" x14ac:dyDescent="0.3">
      <c r="A6" s="4" t="s">
        <v>675</v>
      </c>
      <c r="B6" s="4" t="s">
        <v>20</v>
      </c>
      <c r="C6" s="4" t="s">
        <v>109</v>
      </c>
      <c r="D6" s="4" t="s">
        <v>15</v>
      </c>
      <c r="E6" s="4">
        <v>34</v>
      </c>
      <c r="F6" s="4">
        <v>0</v>
      </c>
      <c r="G6" s="6">
        <f t="shared" si="0"/>
        <v>1</v>
      </c>
      <c r="H6" s="3" t="str">
        <f t="shared" si="1"/>
        <v>★</v>
      </c>
      <c r="I6" s="24"/>
      <c r="J6" s="25">
        <v>0.8</v>
      </c>
      <c r="K6" s="10">
        <f>PERCENTILE($F$2:$F$692,0.8)</f>
        <v>1.75</v>
      </c>
    </row>
    <row r="7" spans="1:27" ht="20" thickBot="1" x14ac:dyDescent="0.3">
      <c r="A7" s="4" t="s">
        <v>110</v>
      </c>
      <c r="B7" s="4" t="s">
        <v>17</v>
      </c>
      <c r="C7" s="4" t="s">
        <v>114</v>
      </c>
      <c r="D7" s="4" t="s">
        <v>81</v>
      </c>
      <c r="E7" s="4">
        <v>20</v>
      </c>
      <c r="F7" s="4">
        <v>1.1299999999999999</v>
      </c>
      <c r="G7" s="6">
        <f t="shared" si="0"/>
        <v>3</v>
      </c>
      <c r="H7" s="3" t="str">
        <f t="shared" si="1"/>
        <v>★★★</v>
      </c>
      <c r="I7" s="6"/>
      <c r="J7" s="25">
        <v>1</v>
      </c>
      <c r="K7" s="10">
        <f>PERCENTILE($F$2:$F$692,1)</f>
        <v>3</v>
      </c>
    </row>
    <row r="8" spans="1:27" x14ac:dyDescent="0.25">
      <c r="A8" s="4" t="s">
        <v>111</v>
      </c>
      <c r="B8" s="4" t="s">
        <v>57</v>
      </c>
      <c r="C8" s="4" t="s">
        <v>116</v>
      </c>
      <c r="D8" s="4" t="s">
        <v>43</v>
      </c>
      <c r="E8" s="4">
        <v>23</v>
      </c>
      <c r="F8" s="4">
        <v>1.29</v>
      </c>
      <c r="G8" s="6">
        <f t="shared" si="0"/>
        <v>4</v>
      </c>
      <c r="H8" s="3" t="str">
        <f t="shared" si="1"/>
        <v>★★★★</v>
      </c>
    </row>
    <row r="9" spans="1:27" ht="20" thickBot="1" x14ac:dyDescent="0.3">
      <c r="A9" s="4" t="s">
        <v>112</v>
      </c>
      <c r="B9" s="4" t="s">
        <v>60</v>
      </c>
      <c r="C9" s="4" t="s">
        <v>109</v>
      </c>
      <c r="D9" s="4" t="s">
        <v>39</v>
      </c>
      <c r="E9" s="4">
        <v>26</v>
      </c>
      <c r="F9" s="4">
        <v>2.64</v>
      </c>
      <c r="G9" s="6">
        <f t="shared" si="0"/>
        <v>5</v>
      </c>
      <c r="H9" s="3" t="str">
        <f t="shared" si="1"/>
        <v>★★★★★</v>
      </c>
    </row>
    <row r="10" spans="1:27" ht="20" thickBot="1" x14ac:dyDescent="0.3">
      <c r="A10" s="4" t="s">
        <v>113</v>
      </c>
      <c r="B10" s="4" t="s">
        <v>29</v>
      </c>
      <c r="C10" s="4" t="s">
        <v>676</v>
      </c>
      <c r="D10" s="4" t="s">
        <v>87</v>
      </c>
      <c r="E10" s="4">
        <v>31</v>
      </c>
      <c r="F10" s="4">
        <v>1.35</v>
      </c>
      <c r="G10" s="6">
        <f t="shared" si="0"/>
        <v>4</v>
      </c>
      <c r="H10" s="3" t="str">
        <f t="shared" si="1"/>
        <v>★★★★</v>
      </c>
      <c r="I10" s="24"/>
      <c r="J10" s="24"/>
      <c r="K10" s="9" t="s">
        <v>672</v>
      </c>
      <c r="L10" s="9" t="s">
        <v>677</v>
      </c>
      <c r="M10" s="9" t="s">
        <v>12</v>
      </c>
    </row>
    <row r="11" spans="1:27" ht="20" thickBot="1" x14ac:dyDescent="0.3">
      <c r="A11" s="4" t="s">
        <v>115</v>
      </c>
      <c r="B11" s="4" t="s">
        <v>20</v>
      </c>
      <c r="C11" s="4" t="s">
        <v>116</v>
      </c>
      <c r="D11" s="4" t="s">
        <v>15</v>
      </c>
      <c r="E11" s="4">
        <v>30</v>
      </c>
      <c r="F11" s="4">
        <v>2.64</v>
      </c>
      <c r="G11" s="6">
        <f t="shared" si="0"/>
        <v>5</v>
      </c>
      <c r="H11" s="3" t="str">
        <f t="shared" si="1"/>
        <v>★★★★★</v>
      </c>
      <c r="I11" s="24"/>
      <c r="J11" s="24"/>
      <c r="K11" s="10">
        <v>0</v>
      </c>
      <c r="L11" s="10" t="s">
        <v>678</v>
      </c>
      <c r="M11" s="10">
        <v>1</v>
      </c>
    </row>
    <row r="12" spans="1:27" ht="20" thickBot="1" x14ac:dyDescent="0.3">
      <c r="A12" s="4" t="s">
        <v>679</v>
      </c>
      <c r="B12" s="4" t="s">
        <v>29</v>
      </c>
      <c r="C12" s="4" t="s">
        <v>116</v>
      </c>
      <c r="D12" s="4" t="s">
        <v>63</v>
      </c>
      <c r="E12" s="4">
        <v>19</v>
      </c>
      <c r="F12" s="4">
        <v>0</v>
      </c>
      <c r="G12" s="6">
        <f t="shared" si="0"/>
        <v>1</v>
      </c>
      <c r="H12" s="3" t="str">
        <f t="shared" si="1"/>
        <v>★</v>
      </c>
      <c r="I12" s="24"/>
      <c r="J12" s="24"/>
      <c r="K12" s="10">
        <v>0.23600000000000024</v>
      </c>
      <c r="L12" s="10" t="s">
        <v>680</v>
      </c>
      <c r="M12" s="10">
        <v>2</v>
      </c>
    </row>
    <row r="13" spans="1:27" ht="20" thickBot="1" x14ac:dyDescent="0.3">
      <c r="A13" s="4" t="s">
        <v>681</v>
      </c>
      <c r="B13" s="4" t="s">
        <v>29</v>
      </c>
      <c r="C13" s="4" t="s">
        <v>471</v>
      </c>
      <c r="D13" s="4" t="s">
        <v>18</v>
      </c>
      <c r="E13" s="4">
        <v>20</v>
      </c>
      <c r="F13" s="4">
        <v>0</v>
      </c>
      <c r="G13" s="6">
        <f t="shared" si="0"/>
        <v>1</v>
      </c>
      <c r="H13" s="3" t="str">
        <f t="shared" si="1"/>
        <v>★</v>
      </c>
      <c r="I13" s="24"/>
      <c r="J13" s="24"/>
      <c r="K13" s="10">
        <v>0.86</v>
      </c>
      <c r="L13" s="10" t="s">
        <v>682</v>
      </c>
      <c r="M13" s="10">
        <v>3</v>
      </c>
    </row>
    <row r="14" spans="1:27" ht="20" thickBot="1" x14ac:dyDescent="0.3">
      <c r="A14" s="4" t="s">
        <v>117</v>
      </c>
      <c r="B14" s="4" t="s">
        <v>29</v>
      </c>
      <c r="C14" s="4" t="s">
        <v>471</v>
      </c>
      <c r="D14" s="4" t="s">
        <v>15</v>
      </c>
      <c r="E14" s="4">
        <v>22</v>
      </c>
      <c r="F14" s="4">
        <v>2.38</v>
      </c>
      <c r="G14" s="6">
        <f t="shared" si="0"/>
        <v>5</v>
      </c>
      <c r="H14" s="3" t="str">
        <f t="shared" si="1"/>
        <v>★★★★★</v>
      </c>
      <c r="I14" s="6"/>
      <c r="J14" s="6"/>
      <c r="K14" s="10">
        <v>1.27</v>
      </c>
      <c r="L14" s="10" t="s">
        <v>683</v>
      </c>
      <c r="M14" s="10">
        <v>4</v>
      </c>
    </row>
    <row r="15" spans="1:27" ht="20" thickBot="1" x14ac:dyDescent="0.3">
      <c r="A15" s="4" t="s">
        <v>13</v>
      </c>
      <c r="B15" s="4" t="s">
        <v>14</v>
      </c>
      <c r="C15" s="4" t="s">
        <v>109</v>
      </c>
      <c r="D15" s="4" t="s">
        <v>15</v>
      </c>
      <c r="E15" s="4">
        <v>28</v>
      </c>
      <c r="F15" s="4">
        <v>2.44</v>
      </c>
      <c r="G15" s="6">
        <f t="shared" si="0"/>
        <v>5</v>
      </c>
      <c r="H15" s="3" t="str">
        <f t="shared" si="1"/>
        <v>★★★★★</v>
      </c>
      <c r="K15" s="10">
        <v>1.75</v>
      </c>
      <c r="L15" s="10" t="s">
        <v>684</v>
      </c>
      <c r="M15" s="10">
        <v>5</v>
      </c>
    </row>
    <row r="16" spans="1:27" x14ac:dyDescent="0.25">
      <c r="A16" s="4" t="s">
        <v>118</v>
      </c>
      <c r="B16" s="4" t="s">
        <v>14</v>
      </c>
      <c r="C16" s="4" t="s">
        <v>116</v>
      </c>
      <c r="D16" s="4" t="s">
        <v>27</v>
      </c>
      <c r="E16" s="4">
        <v>30</v>
      </c>
      <c r="F16" s="4">
        <v>1.1399999999999999</v>
      </c>
      <c r="G16" s="6">
        <f t="shared" si="0"/>
        <v>3</v>
      </c>
      <c r="H16" s="3" t="str">
        <f t="shared" si="1"/>
        <v>★★★</v>
      </c>
    </row>
    <row r="17" spans="1:12" x14ac:dyDescent="0.25">
      <c r="A17" s="4" t="s">
        <v>119</v>
      </c>
      <c r="B17" s="4" t="s">
        <v>29</v>
      </c>
      <c r="C17" s="4" t="s">
        <v>109</v>
      </c>
      <c r="D17" s="4" t="s">
        <v>27</v>
      </c>
      <c r="E17" s="4">
        <v>25</v>
      </c>
      <c r="F17" s="4">
        <v>0.91</v>
      </c>
      <c r="G17" s="6">
        <f t="shared" si="0"/>
        <v>3</v>
      </c>
      <c r="H17" s="3" t="str">
        <f t="shared" si="1"/>
        <v>★★★</v>
      </c>
    </row>
    <row r="18" spans="1:12" x14ac:dyDescent="0.25">
      <c r="A18" s="4" t="s">
        <v>119</v>
      </c>
      <c r="B18" s="4" t="s">
        <v>29</v>
      </c>
      <c r="C18" s="4" t="s">
        <v>109</v>
      </c>
      <c r="D18" s="4" t="s">
        <v>65</v>
      </c>
      <c r="E18" s="4">
        <v>25</v>
      </c>
      <c r="F18" s="4">
        <v>1.4</v>
      </c>
      <c r="G18" s="6">
        <f t="shared" si="0"/>
        <v>4</v>
      </c>
      <c r="H18" s="3" t="str">
        <f t="shared" si="1"/>
        <v>★★★★</v>
      </c>
    </row>
    <row r="19" spans="1:12" x14ac:dyDescent="0.25">
      <c r="A19" s="4" t="s">
        <v>472</v>
      </c>
      <c r="B19" s="4" t="s">
        <v>473</v>
      </c>
      <c r="C19" s="4" t="s">
        <v>584</v>
      </c>
      <c r="D19" s="4" t="s">
        <v>35</v>
      </c>
      <c r="E19" s="4">
        <v>27</v>
      </c>
      <c r="F19" s="4">
        <v>1.2</v>
      </c>
      <c r="G19" s="6">
        <f t="shared" si="0"/>
        <v>3</v>
      </c>
      <c r="H19" s="3" t="str">
        <f t="shared" si="1"/>
        <v>★★★</v>
      </c>
    </row>
    <row r="20" spans="1:12" x14ac:dyDescent="0.25">
      <c r="A20" s="4" t="s">
        <v>120</v>
      </c>
      <c r="B20" s="4" t="s">
        <v>20</v>
      </c>
      <c r="C20" s="4" t="s">
        <v>471</v>
      </c>
      <c r="D20" s="4" t="s">
        <v>21</v>
      </c>
      <c r="E20" s="4">
        <v>30</v>
      </c>
      <c r="F20" s="4">
        <v>1.64</v>
      </c>
      <c r="G20" s="6">
        <f t="shared" si="0"/>
        <v>4</v>
      </c>
      <c r="H20" s="3" t="str">
        <f t="shared" si="1"/>
        <v>★★★★</v>
      </c>
    </row>
    <row r="21" spans="1:12" x14ac:dyDescent="0.25">
      <c r="A21" s="4" t="s">
        <v>121</v>
      </c>
      <c r="B21" s="4" t="s">
        <v>122</v>
      </c>
      <c r="C21" s="4" t="s">
        <v>676</v>
      </c>
      <c r="D21" s="4" t="s">
        <v>85</v>
      </c>
      <c r="E21" s="4">
        <v>22</v>
      </c>
      <c r="F21" s="4">
        <v>1.1100000000000001</v>
      </c>
      <c r="G21" s="6">
        <f t="shared" si="0"/>
        <v>3</v>
      </c>
      <c r="H21" s="3" t="str">
        <f t="shared" si="1"/>
        <v>★★★</v>
      </c>
    </row>
    <row r="22" spans="1:12" x14ac:dyDescent="0.25">
      <c r="A22" s="4" t="s">
        <v>123</v>
      </c>
      <c r="B22" s="4" t="s">
        <v>124</v>
      </c>
      <c r="C22" s="4" t="s">
        <v>584</v>
      </c>
      <c r="D22" s="4" t="s">
        <v>87</v>
      </c>
      <c r="E22" s="4">
        <v>26</v>
      </c>
      <c r="F22" s="4">
        <v>1.5</v>
      </c>
      <c r="G22" s="6">
        <f t="shared" si="0"/>
        <v>4</v>
      </c>
      <c r="H22" s="3" t="str">
        <f t="shared" si="1"/>
        <v>★★★★</v>
      </c>
    </row>
    <row r="23" spans="1:12" x14ac:dyDescent="0.25">
      <c r="A23" s="4" t="s">
        <v>125</v>
      </c>
      <c r="B23" s="4" t="s">
        <v>67</v>
      </c>
      <c r="C23" s="4" t="s">
        <v>116</v>
      </c>
      <c r="D23" s="4" t="s">
        <v>30</v>
      </c>
      <c r="E23" s="4">
        <v>25</v>
      </c>
      <c r="F23" s="4">
        <v>1.32</v>
      </c>
      <c r="G23" s="6">
        <f t="shared" si="0"/>
        <v>4</v>
      </c>
      <c r="H23" s="3" t="str">
        <f t="shared" si="1"/>
        <v>★★★★</v>
      </c>
    </row>
    <row r="24" spans="1:12" x14ac:dyDescent="0.25">
      <c r="A24" s="4" t="s">
        <v>685</v>
      </c>
      <c r="B24" s="4" t="s">
        <v>127</v>
      </c>
      <c r="C24" s="4" t="s">
        <v>676</v>
      </c>
      <c r="D24" s="4" t="s">
        <v>35</v>
      </c>
      <c r="E24" s="4">
        <v>18</v>
      </c>
      <c r="F24" s="4">
        <v>0</v>
      </c>
      <c r="G24" s="6">
        <f t="shared" si="0"/>
        <v>1</v>
      </c>
      <c r="H24" s="3" t="str">
        <f t="shared" si="1"/>
        <v>★</v>
      </c>
      <c r="K24" s="3"/>
      <c r="L24" s="3"/>
    </row>
    <row r="25" spans="1:12" x14ac:dyDescent="0.25">
      <c r="A25" s="4" t="s">
        <v>686</v>
      </c>
      <c r="B25" s="4" t="s">
        <v>687</v>
      </c>
      <c r="C25" s="4" t="s">
        <v>109</v>
      </c>
      <c r="D25" s="4" t="s">
        <v>85</v>
      </c>
      <c r="E25" s="4">
        <v>28</v>
      </c>
      <c r="F25" s="4">
        <v>0</v>
      </c>
      <c r="G25" s="6">
        <f t="shared" si="0"/>
        <v>1</v>
      </c>
      <c r="H25" s="3" t="str">
        <f t="shared" si="1"/>
        <v>★</v>
      </c>
      <c r="K25" s="24"/>
    </row>
    <row r="26" spans="1:12" x14ac:dyDescent="0.25">
      <c r="A26" s="4" t="s">
        <v>688</v>
      </c>
      <c r="B26" s="4" t="s">
        <v>127</v>
      </c>
      <c r="C26" s="4" t="s">
        <v>584</v>
      </c>
      <c r="D26" s="4" t="s">
        <v>24</v>
      </c>
      <c r="E26" s="4">
        <v>17</v>
      </c>
      <c r="F26" s="4">
        <v>0</v>
      </c>
      <c r="G26" s="6">
        <f t="shared" si="0"/>
        <v>1</v>
      </c>
      <c r="H26" s="3" t="str">
        <f t="shared" si="1"/>
        <v>★</v>
      </c>
      <c r="K26" s="24"/>
    </row>
    <row r="27" spans="1:12" x14ac:dyDescent="0.25">
      <c r="A27" s="4" t="s">
        <v>585</v>
      </c>
      <c r="B27" s="4" t="s">
        <v>376</v>
      </c>
      <c r="C27" s="4" t="s">
        <v>584</v>
      </c>
      <c r="D27" s="4" t="s">
        <v>18</v>
      </c>
      <c r="E27" s="4">
        <v>31</v>
      </c>
      <c r="F27" s="4">
        <v>1.56</v>
      </c>
      <c r="G27" s="6">
        <f t="shared" si="0"/>
        <v>4</v>
      </c>
      <c r="H27" s="3" t="str">
        <f t="shared" si="1"/>
        <v>★★★★</v>
      </c>
      <c r="K27" s="24"/>
    </row>
    <row r="28" spans="1:12" x14ac:dyDescent="0.25">
      <c r="A28" s="4" t="s">
        <v>474</v>
      </c>
      <c r="B28" s="4" t="s">
        <v>29</v>
      </c>
      <c r="C28" s="4" t="s">
        <v>109</v>
      </c>
      <c r="D28" s="4" t="s">
        <v>69</v>
      </c>
      <c r="E28" s="4">
        <v>19</v>
      </c>
      <c r="F28" s="4">
        <v>1</v>
      </c>
      <c r="G28" s="6">
        <f t="shared" si="0"/>
        <v>3</v>
      </c>
      <c r="H28" s="3" t="str">
        <f t="shared" si="1"/>
        <v>★★★</v>
      </c>
      <c r="K28" s="24"/>
    </row>
    <row r="29" spans="1:12" x14ac:dyDescent="0.25">
      <c r="A29" s="4" t="s">
        <v>16</v>
      </c>
      <c r="B29" s="4" t="s">
        <v>17</v>
      </c>
      <c r="C29" s="4" t="s">
        <v>109</v>
      </c>
      <c r="D29" s="4" t="s">
        <v>18</v>
      </c>
      <c r="E29" s="4">
        <v>28</v>
      </c>
      <c r="F29" s="4">
        <v>0</v>
      </c>
      <c r="G29" s="6">
        <f t="shared" si="0"/>
        <v>1</v>
      </c>
      <c r="H29" s="3" t="str">
        <f t="shared" si="1"/>
        <v>★</v>
      </c>
      <c r="K29" s="6"/>
    </row>
    <row r="30" spans="1:12" x14ac:dyDescent="0.25">
      <c r="A30" s="4" t="s">
        <v>586</v>
      </c>
      <c r="B30" s="4" t="s">
        <v>29</v>
      </c>
      <c r="C30" s="4" t="s">
        <v>676</v>
      </c>
      <c r="D30" s="4" t="s">
        <v>33</v>
      </c>
      <c r="E30" s="4">
        <v>24</v>
      </c>
      <c r="F30" s="4">
        <v>0.87</v>
      </c>
      <c r="G30" s="6">
        <f t="shared" si="0"/>
        <v>3</v>
      </c>
      <c r="H30" s="3" t="str">
        <f t="shared" si="1"/>
        <v>★★★</v>
      </c>
    </row>
    <row r="31" spans="1:12" x14ac:dyDescent="0.25">
      <c r="A31" s="4" t="s">
        <v>126</v>
      </c>
      <c r="B31" s="4" t="s">
        <v>127</v>
      </c>
      <c r="C31" s="4" t="s">
        <v>476</v>
      </c>
      <c r="D31" s="4" t="s">
        <v>33</v>
      </c>
      <c r="E31" s="4">
        <v>29</v>
      </c>
      <c r="F31" s="4">
        <v>1.32</v>
      </c>
      <c r="G31" s="6">
        <f t="shared" si="0"/>
        <v>4</v>
      </c>
      <c r="H31" s="3" t="str">
        <f t="shared" si="1"/>
        <v>★★★★</v>
      </c>
    </row>
    <row r="32" spans="1:12" x14ac:dyDescent="0.25">
      <c r="A32" s="4" t="s">
        <v>19</v>
      </c>
      <c r="B32" s="4" t="s">
        <v>20</v>
      </c>
      <c r="C32" s="4" t="s">
        <v>109</v>
      </c>
      <c r="D32" s="4" t="s">
        <v>21</v>
      </c>
      <c r="E32" s="4">
        <v>26</v>
      </c>
      <c r="F32" s="4">
        <v>1.75</v>
      </c>
      <c r="G32" s="6">
        <f t="shared" si="0"/>
        <v>5</v>
      </c>
      <c r="H32" s="3" t="str">
        <f t="shared" si="1"/>
        <v>★★★★★</v>
      </c>
    </row>
    <row r="33" spans="1:8" x14ac:dyDescent="0.25">
      <c r="A33" s="4" t="s">
        <v>128</v>
      </c>
      <c r="B33" s="4" t="s">
        <v>127</v>
      </c>
      <c r="C33" s="4" t="s">
        <v>584</v>
      </c>
      <c r="D33" s="4" t="s">
        <v>18</v>
      </c>
      <c r="E33" s="4">
        <v>19</v>
      </c>
      <c r="F33" s="4">
        <v>0</v>
      </c>
      <c r="G33" s="6">
        <f t="shared" si="0"/>
        <v>1</v>
      </c>
      <c r="H33" s="3" t="str">
        <f t="shared" si="1"/>
        <v>★</v>
      </c>
    </row>
    <row r="34" spans="1:8" x14ac:dyDescent="0.25">
      <c r="A34" s="4" t="s">
        <v>587</v>
      </c>
      <c r="B34" s="4" t="s">
        <v>588</v>
      </c>
      <c r="C34" s="4" t="s">
        <v>584</v>
      </c>
      <c r="D34" s="4" t="s">
        <v>63</v>
      </c>
      <c r="E34" s="4">
        <v>32</v>
      </c>
      <c r="F34" s="4">
        <v>1.64</v>
      </c>
      <c r="G34" s="6">
        <f t="shared" si="0"/>
        <v>4</v>
      </c>
      <c r="H34" s="3" t="str">
        <f t="shared" si="1"/>
        <v>★★★★</v>
      </c>
    </row>
    <row r="35" spans="1:8" x14ac:dyDescent="0.25">
      <c r="A35" s="4" t="s">
        <v>689</v>
      </c>
      <c r="B35" s="4" t="s">
        <v>29</v>
      </c>
      <c r="C35" s="4" t="s">
        <v>116</v>
      </c>
      <c r="D35" s="4" t="s">
        <v>65</v>
      </c>
      <c r="E35" s="4">
        <v>22</v>
      </c>
      <c r="F35" s="4">
        <v>0</v>
      </c>
      <c r="G35" s="6">
        <f t="shared" si="0"/>
        <v>1</v>
      </c>
      <c r="H35" s="3" t="str">
        <f t="shared" si="1"/>
        <v>★</v>
      </c>
    </row>
    <row r="36" spans="1:8" x14ac:dyDescent="0.25">
      <c r="A36" s="4" t="s">
        <v>690</v>
      </c>
      <c r="B36" s="4" t="s">
        <v>29</v>
      </c>
      <c r="C36" s="4" t="s">
        <v>116</v>
      </c>
      <c r="D36" s="4" t="s">
        <v>63</v>
      </c>
      <c r="E36" s="4">
        <v>17</v>
      </c>
      <c r="F36" s="4">
        <v>0</v>
      </c>
      <c r="G36" s="6">
        <f t="shared" si="0"/>
        <v>1</v>
      </c>
      <c r="H36" s="3" t="str">
        <f t="shared" si="1"/>
        <v>★</v>
      </c>
    </row>
    <row r="37" spans="1:8" x14ac:dyDescent="0.25">
      <c r="A37" s="4" t="s">
        <v>589</v>
      </c>
      <c r="B37" s="4" t="s">
        <v>124</v>
      </c>
      <c r="C37" s="4" t="s">
        <v>584</v>
      </c>
      <c r="D37" s="4" t="s">
        <v>30</v>
      </c>
      <c r="E37" s="4">
        <v>29</v>
      </c>
      <c r="F37" s="4">
        <v>1.1299999999999999</v>
      </c>
      <c r="G37" s="6">
        <f t="shared" si="0"/>
        <v>3</v>
      </c>
      <c r="H37" s="3" t="str">
        <f t="shared" si="1"/>
        <v>★★★</v>
      </c>
    </row>
    <row r="38" spans="1:8" x14ac:dyDescent="0.25">
      <c r="A38" s="4" t="s">
        <v>130</v>
      </c>
      <c r="B38" s="4" t="s">
        <v>29</v>
      </c>
      <c r="C38" s="4" t="s">
        <v>476</v>
      </c>
      <c r="D38" s="4" t="s">
        <v>58</v>
      </c>
      <c r="E38" s="4">
        <v>29</v>
      </c>
      <c r="F38" s="4">
        <v>0.85</v>
      </c>
      <c r="G38" s="6">
        <f t="shared" si="0"/>
        <v>2</v>
      </c>
      <c r="H38" s="3" t="str">
        <f t="shared" si="1"/>
        <v>★★</v>
      </c>
    </row>
    <row r="39" spans="1:8" x14ac:dyDescent="0.25">
      <c r="A39" s="4" t="s">
        <v>691</v>
      </c>
      <c r="B39" s="4" t="s">
        <v>29</v>
      </c>
      <c r="C39" s="4" t="s">
        <v>116</v>
      </c>
      <c r="D39" s="4" t="s">
        <v>63</v>
      </c>
      <c r="E39" s="4">
        <v>18</v>
      </c>
      <c r="F39" s="4">
        <v>0</v>
      </c>
      <c r="G39" s="6">
        <f t="shared" si="0"/>
        <v>1</v>
      </c>
      <c r="H39" s="3" t="str">
        <f t="shared" si="1"/>
        <v>★</v>
      </c>
    </row>
    <row r="40" spans="1:8" x14ac:dyDescent="0.25">
      <c r="A40" s="4" t="s">
        <v>131</v>
      </c>
      <c r="B40" s="4" t="s">
        <v>20</v>
      </c>
      <c r="C40" s="4" t="s">
        <v>109</v>
      </c>
      <c r="D40" s="4" t="s">
        <v>21</v>
      </c>
      <c r="E40" s="4">
        <v>31</v>
      </c>
      <c r="F40" s="4">
        <v>1.78</v>
      </c>
      <c r="G40" s="6">
        <f t="shared" si="0"/>
        <v>5</v>
      </c>
      <c r="H40" s="3" t="str">
        <f t="shared" si="1"/>
        <v>★★★★★</v>
      </c>
    </row>
    <row r="41" spans="1:8" x14ac:dyDescent="0.25">
      <c r="A41" s="4" t="s">
        <v>692</v>
      </c>
      <c r="B41" s="4" t="s">
        <v>29</v>
      </c>
      <c r="C41" s="4" t="s">
        <v>109</v>
      </c>
      <c r="D41" s="4" t="s">
        <v>24</v>
      </c>
      <c r="E41" s="4">
        <v>18</v>
      </c>
      <c r="F41" s="4">
        <v>0</v>
      </c>
      <c r="G41" s="6">
        <f t="shared" si="0"/>
        <v>1</v>
      </c>
      <c r="H41" s="3" t="str">
        <f t="shared" si="1"/>
        <v>★</v>
      </c>
    </row>
    <row r="42" spans="1:8" x14ac:dyDescent="0.25">
      <c r="A42" s="4" t="s">
        <v>22</v>
      </c>
      <c r="B42" s="4" t="s">
        <v>23</v>
      </c>
      <c r="C42" s="4" t="s">
        <v>116</v>
      </c>
      <c r="D42" s="4" t="s">
        <v>24</v>
      </c>
      <c r="E42" s="4">
        <v>27</v>
      </c>
      <c r="F42" s="4">
        <v>0.25</v>
      </c>
      <c r="G42" s="6">
        <f t="shared" si="0"/>
        <v>2</v>
      </c>
      <c r="H42" s="3" t="str">
        <f t="shared" si="1"/>
        <v>★★</v>
      </c>
    </row>
    <row r="43" spans="1:8" x14ac:dyDescent="0.25">
      <c r="A43" s="4" t="s">
        <v>475</v>
      </c>
      <c r="B43" s="4" t="s">
        <v>376</v>
      </c>
      <c r="C43" s="4" t="s">
        <v>116</v>
      </c>
      <c r="D43" s="4" t="s">
        <v>69</v>
      </c>
      <c r="E43" s="4">
        <v>23</v>
      </c>
      <c r="F43" s="4">
        <v>0.89</v>
      </c>
      <c r="G43" s="6">
        <f t="shared" si="0"/>
        <v>3</v>
      </c>
      <c r="H43" s="3" t="str">
        <f t="shared" si="1"/>
        <v>★★★</v>
      </c>
    </row>
    <row r="44" spans="1:8" x14ac:dyDescent="0.25">
      <c r="A44" s="4" t="s">
        <v>132</v>
      </c>
      <c r="B44" s="4" t="s">
        <v>133</v>
      </c>
      <c r="C44" s="4" t="s">
        <v>676</v>
      </c>
      <c r="D44" s="4" t="s">
        <v>47</v>
      </c>
      <c r="E44" s="4">
        <v>27</v>
      </c>
      <c r="F44" s="4">
        <v>1.75</v>
      </c>
      <c r="G44" s="6">
        <f t="shared" si="0"/>
        <v>5</v>
      </c>
      <c r="H44" s="3" t="str">
        <f t="shared" si="1"/>
        <v>★★★★★</v>
      </c>
    </row>
    <row r="45" spans="1:8" x14ac:dyDescent="0.25">
      <c r="A45" s="4" t="s">
        <v>590</v>
      </c>
      <c r="B45" s="4" t="s">
        <v>29</v>
      </c>
      <c r="C45" s="4" t="s">
        <v>476</v>
      </c>
      <c r="D45" s="4" t="s">
        <v>63</v>
      </c>
      <c r="E45" s="4">
        <v>20</v>
      </c>
      <c r="F45" s="4">
        <v>0</v>
      </c>
      <c r="G45" s="6">
        <f t="shared" si="0"/>
        <v>1</v>
      </c>
      <c r="H45" s="3" t="str">
        <f t="shared" si="1"/>
        <v>★</v>
      </c>
    </row>
    <row r="46" spans="1:8" x14ac:dyDescent="0.25">
      <c r="A46" s="4" t="s">
        <v>591</v>
      </c>
      <c r="B46" s="4" t="s">
        <v>29</v>
      </c>
      <c r="C46" s="4" t="s">
        <v>116</v>
      </c>
      <c r="D46" s="4" t="s">
        <v>58</v>
      </c>
      <c r="E46" s="4">
        <v>27</v>
      </c>
      <c r="F46" s="4">
        <v>1.1100000000000001</v>
      </c>
      <c r="G46" s="6">
        <f t="shared" si="0"/>
        <v>3</v>
      </c>
      <c r="H46" s="3" t="str">
        <f t="shared" si="1"/>
        <v>★★★</v>
      </c>
    </row>
    <row r="47" spans="1:8" x14ac:dyDescent="0.25">
      <c r="A47" s="4" t="s">
        <v>693</v>
      </c>
      <c r="B47" s="4" t="s">
        <v>127</v>
      </c>
      <c r="C47" s="4" t="s">
        <v>584</v>
      </c>
      <c r="D47" s="4" t="s">
        <v>30</v>
      </c>
      <c r="E47" s="4">
        <v>19</v>
      </c>
      <c r="F47" s="4">
        <v>0</v>
      </c>
      <c r="G47" s="6">
        <f t="shared" si="0"/>
        <v>1</v>
      </c>
      <c r="H47" s="3" t="str">
        <f t="shared" si="1"/>
        <v>★</v>
      </c>
    </row>
    <row r="48" spans="1:8" x14ac:dyDescent="0.25">
      <c r="A48" s="4" t="s">
        <v>694</v>
      </c>
      <c r="B48" s="4" t="s">
        <v>29</v>
      </c>
      <c r="C48" s="4" t="s">
        <v>116</v>
      </c>
      <c r="D48" s="4" t="s">
        <v>18</v>
      </c>
      <c r="E48" s="4">
        <v>17</v>
      </c>
      <c r="F48" s="4">
        <v>0</v>
      </c>
      <c r="G48" s="6">
        <f t="shared" si="0"/>
        <v>1</v>
      </c>
      <c r="H48" s="3" t="str">
        <f t="shared" si="1"/>
        <v>★</v>
      </c>
    </row>
    <row r="49" spans="1:8" x14ac:dyDescent="0.25">
      <c r="A49" s="4" t="s">
        <v>134</v>
      </c>
      <c r="B49" s="4" t="s">
        <v>135</v>
      </c>
      <c r="C49" s="4" t="s">
        <v>476</v>
      </c>
      <c r="D49" s="4" t="s">
        <v>43</v>
      </c>
      <c r="E49" s="4">
        <v>23</v>
      </c>
      <c r="F49" s="4">
        <v>1.05</v>
      </c>
      <c r="G49" s="6">
        <f t="shared" si="0"/>
        <v>3</v>
      </c>
      <c r="H49" s="3" t="str">
        <f t="shared" si="1"/>
        <v>★★★</v>
      </c>
    </row>
    <row r="50" spans="1:8" x14ac:dyDescent="0.25">
      <c r="A50" s="4" t="s">
        <v>695</v>
      </c>
      <c r="B50" s="4" t="s">
        <v>127</v>
      </c>
      <c r="C50" s="4" t="s">
        <v>109</v>
      </c>
      <c r="D50" s="4" t="s">
        <v>53</v>
      </c>
      <c r="E50" s="4">
        <v>36</v>
      </c>
      <c r="F50" s="4">
        <v>0</v>
      </c>
      <c r="G50" s="6">
        <f t="shared" si="0"/>
        <v>1</v>
      </c>
      <c r="H50" s="3" t="str">
        <f t="shared" si="1"/>
        <v>★</v>
      </c>
    </row>
    <row r="51" spans="1:8" x14ac:dyDescent="0.25">
      <c r="A51" s="4" t="s">
        <v>136</v>
      </c>
      <c r="B51" s="4" t="s">
        <v>29</v>
      </c>
      <c r="C51" s="4" t="s">
        <v>116</v>
      </c>
      <c r="D51" s="4" t="s">
        <v>21</v>
      </c>
      <c r="E51" s="4">
        <v>27</v>
      </c>
      <c r="F51" s="4">
        <v>2.33</v>
      </c>
      <c r="G51" s="6">
        <f t="shared" si="0"/>
        <v>5</v>
      </c>
      <c r="H51" s="3" t="str">
        <f t="shared" si="1"/>
        <v>★★★★★</v>
      </c>
    </row>
    <row r="52" spans="1:8" x14ac:dyDescent="0.25">
      <c r="A52" s="4" t="s">
        <v>592</v>
      </c>
      <c r="B52" s="4" t="s">
        <v>29</v>
      </c>
      <c r="C52" s="4" t="s">
        <v>116</v>
      </c>
      <c r="D52" s="4" t="s">
        <v>53</v>
      </c>
      <c r="E52" s="4">
        <v>31</v>
      </c>
      <c r="F52" s="4">
        <v>0.78</v>
      </c>
      <c r="G52" s="6">
        <f t="shared" si="0"/>
        <v>2</v>
      </c>
      <c r="H52" s="3" t="str">
        <f t="shared" si="1"/>
        <v>★★</v>
      </c>
    </row>
    <row r="53" spans="1:8" x14ac:dyDescent="0.25">
      <c r="A53" s="4" t="s">
        <v>477</v>
      </c>
      <c r="B53" s="4" t="s">
        <v>29</v>
      </c>
      <c r="C53" s="4" t="s">
        <v>109</v>
      </c>
      <c r="D53" s="4" t="s">
        <v>87</v>
      </c>
      <c r="E53" s="4">
        <v>23</v>
      </c>
      <c r="F53" s="4">
        <v>1.34</v>
      </c>
      <c r="G53" s="6">
        <f t="shared" si="0"/>
        <v>4</v>
      </c>
      <c r="H53" s="3" t="str">
        <f t="shared" si="1"/>
        <v>★★★★</v>
      </c>
    </row>
    <row r="54" spans="1:8" x14ac:dyDescent="0.25">
      <c r="A54" s="4" t="s">
        <v>137</v>
      </c>
      <c r="B54" s="4" t="s">
        <v>29</v>
      </c>
      <c r="C54" s="4" t="s">
        <v>584</v>
      </c>
      <c r="D54" s="4" t="s">
        <v>58</v>
      </c>
      <c r="E54" s="4">
        <v>18</v>
      </c>
      <c r="F54" s="4">
        <v>1</v>
      </c>
      <c r="G54" s="6">
        <f t="shared" si="0"/>
        <v>3</v>
      </c>
      <c r="H54" s="3" t="str">
        <f t="shared" si="1"/>
        <v>★★★</v>
      </c>
    </row>
    <row r="55" spans="1:8" x14ac:dyDescent="0.25">
      <c r="A55" s="4" t="s">
        <v>138</v>
      </c>
      <c r="B55" s="4" t="s">
        <v>67</v>
      </c>
      <c r="C55" s="4" t="s">
        <v>109</v>
      </c>
      <c r="D55" s="4" t="s">
        <v>43</v>
      </c>
      <c r="E55" s="4">
        <v>22</v>
      </c>
      <c r="F55" s="4">
        <v>1.45</v>
      </c>
      <c r="G55" s="6">
        <f t="shared" si="0"/>
        <v>4</v>
      </c>
      <c r="H55" s="3" t="str">
        <f t="shared" si="1"/>
        <v>★★★★</v>
      </c>
    </row>
    <row r="56" spans="1:8" x14ac:dyDescent="0.25">
      <c r="A56" s="4" t="s">
        <v>696</v>
      </c>
      <c r="B56" s="4" t="s">
        <v>52</v>
      </c>
      <c r="C56" s="4" t="s">
        <v>584</v>
      </c>
      <c r="D56" s="4" t="s">
        <v>15</v>
      </c>
      <c r="E56" s="4">
        <v>18</v>
      </c>
      <c r="F56" s="4">
        <v>0</v>
      </c>
      <c r="G56" s="6">
        <f t="shared" si="0"/>
        <v>1</v>
      </c>
      <c r="H56" s="3" t="str">
        <f t="shared" si="1"/>
        <v>★</v>
      </c>
    </row>
    <row r="57" spans="1:8" x14ac:dyDescent="0.25">
      <c r="A57" s="4" t="s">
        <v>139</v>
      </c>
      <c r="B57" s="4" t="s">
        <v>41</v>
      </c>
      <c r="C57" s="4" t="s">
        <v>116</v>
      </c>
      <c r="D57" s="4" t="s">
        <v>33</v>
      </c>
      <c r="E57" s="4">
        <v>25</v>
      </c>
      <c r="F57" s="4">
        <v>1.1599999999999999</v>
      </c>
      <c r="G57" s="6">
        <f t="shared" si="0"/>
        <v>3</v>
      </c>
      <c r="H57" s="3" t="str">
        <f t="shared" si="1"/>
        <v>★★★</v>
      </c>
    </row>
    <row r="58" spans="1:8" x14ac:dyDescent="0.25">
      <c r="A58" s="4" t="s">
        <v>140</v>
      </c>
      <c r="B58" s="4" t="s">
        <v>60</v>
      </c>
      <c r="C58" s="4" t="s">
        <v>116</v>
      </c>
      <c r="D58" s="4" t="s">
        <v>27</v>
      </c>
      <c r="E58" s="4">
        <v>24</v>
      </c>
      <c r="F58" s="4">
        <v>0.43</v>
      </c>
      <c r="G58" s="6">
        <f t="shared" si="0"/>
        <v>2</v>
      </c>
      <c r="H58" s="3" t="str">
        <f t="shared" si="1"/>
        <v>★★</v>
      </c>
    </row>
    <row r="59" spans="1:8" x14ac:dyDescent="0.25">
      <c r="A59" s="4" t="s">
        <v>140</v>
      </c>
      <c r="B59" s="4" t="s">
        <v>60</v>
      </c>
      <c r="C59" s="4" t="s">
        <v>476</v>
      </c>
      <c r="D59" s="4" t="s">
        <v>47</v>
      </c>
      <c r="E59" s="4">
        <v>24</v>
      </c>
      <c r="F59" s="4">
        <v>1.75</v>
      </c>
      <c r="G59" s="6">
        <f t="shared" si="0"/>
        <v>5</v>
      </c>
      <c r="H59" s="3" t="str">
        <f t="shared" si="1"/>
        <v>★★★★★</v>
      </c>
    </row>
    <row r="60" spans="1:8" x14ac:dyDescent="0.25">
      <c r="A60" s="4" t="s">
        <v>25</v>
      </c>
      <c r="B60" s="4" t="s">
        <v>26</v>
      </c>
      <c r="C60" s="4" t="s">
        <v>476</v>
      </c>
      <c r="D60" s="4" t="s">
        <v>27</v>
      </c>
      <c r="E60" s="4">
        <v>34</v>
      </c>
      <c r="F60" s="4">
        <v>1</v>
      </c>
      <c r="G60" s="6">
        <f t="shared" si="0"/>
        <v>3</v>
      </c>
      <c r="H60" s="3" t="str">
        <f t="shared" si="1"/>
        <v>★★★</v>
      </c>
    </row>
    <row r="61" spans="1:8" x14ac:dyDescent="0.25">
      <c r="A61" s="4" t="s">
        <v>697</v>
      </c>
      <c r="B61" s="4" t="s">
        <v>20</v>
      </c>
      <c r="C61" s="4" t="s">
        <v>109</v>
      </c>
      <c r="D61" s="4" t="s">
        <v>63</v>
      </c>
      <c r="E61" s="4">
        <v>26</v>
      </c>
      <c r="F61" s="4">
        <v>0</v>
      </c>
      <c r="G61" s="6">
        <f t="shared" si="0"/>
        <v>1</v>
      </c>
      <c r="H61" s="3" t="str">
        <f t="shared" si="1"/>
        <v>★</v>
      </c>
    </row>
    <row r="62" spans="1:8" x14ac:dyDescent="0.25">
      <c r="A62" s="4" t="s">
        <v>478</v>
      </c>
      <c r="B62" s="4" t="s">
        <v>479</v>
      </c>
      <c r="C62" s="4" t="s">
        <v>109</v>
      </c>
      <c r="D62" s="4" t="s">
        <v>18</v>
      </c>
      <c r="E62" s="4">
        <v>25</v>
      </c>
      <c r="F62" s="4">
        <v>1.53</v>
      </c>
      <c r="G62" s="6">
        <f t="shared" si="0"/>
        <v>4</v>
      </c>
      <c r="H62" s="3" t="str">
        <f t="shared" si="1"/>
        <v>★★★★</v>
      </c>
    </row>
    <row r="63" spans="1:8" x14ac:dyDescent="0.25">
      <c r="A63" s="4" t="s">
        <v>141</v>
      </c>
      <c r="B63" s="4" t="s">
        <v>142</v>
      </c>
      <c r="C63" s="4" t="s">
        <v>676</v>
      </c>
      <c r="D63" s="4" t="s">
        <v>65</v>
      </c>
      <c r="E63" s="4">
        <v>24</v>
      </c>
      <c r="F63" s="4">
        <v>1.88</v>
      </c>
      <c r="G63" s="6">
        <f t="shared" si="0"/>
        <v>5</v>
      </c>
      <c r="H63" s="3" t="str">
        <f t="shared" si="1"/>
        <v>★★★★★</v>
      </c>
    </row>
    <row r="64" spans="1:8" x14ac:dyDescent="0.25">
      <c r="A64" s="4" t="s">
        <v>593</v>
      </c>
      <c r="B64" s="4" t="s">
        <v>162</v>
      </c>
      <c r="C64" s="4" t="s">
        <v>109</v>
      </c>
      <c r="D64" s="4" t="s">
        <v>30</v>
      </c>
      <c r="E64" s="4">
        <v>30</v>
      </c>
      <c r="F64" s="4">
        <v>1.1599999999999999</v>
      </c>
      <c r="G64" s="6">
        <f t="shared" si="0"/>
        <v>3</v>
      </c>
      <c r="H64" s="3" t="str">
        <f t="shared" si="1"/>
        <v>★★★</v>
      </c>
    </row>
    <row r="65" spans="1:8" x14ac:dyDescent="0.25">
      <c r="A65" s="4" t="s">
        <v>143</v>
      </c>
      <c r="B65" s="4" t="s">
        <v>144</v>
      </c>
      <c r="C65" s="4" t="s">
        <v>676</v>
      </c>
      <c r="D65" s="4" t="s">
        <v>53</v>
      </c>
      <c r="E65" s="4">
        <v>30</v>
      </c>
      <c r="F65" s="4">
        <v>0.67</v>
      </c>
      <c r="G65" s="6">
        <f t="shared" si="0"/>
        <v>2</v>
      </c>
      <c r="H65" s="3" t="str">
        <f t="shared" si="1"/>
        <v>★★</v>
      </c>
    </row>
    <row r="66" spans="1:8" x14ac:dyDescent="0.25">
      <c r="A66" s="4" t="s">
        <v>480</v>
      </c>
      <c r="B66" s="4" t="s">
        <v>60</v>
      </c>
      <c r="C66" s="4" t="s">
        <v>116</v>
      </c>
      <c r="D66" s="4" t="s">
        <v>65</v>
      </c>
      <c r="E66" s="4">
        <v>23</v>
      </c>
      <c r="F66" s="4">
        <v>1.96</v>
      </c>
      <c r="G66" s="6">
        <f t="shared" si="0"/>
        <v>5</v>
      </c>
      <c r="H66" s="3" t="str">
        <f t="shared" si="1"/>
        <v>★★★★★</v>
      </c>
    </row>
    <row r="67" spans="1:8" x14ac:dyDescent="0.25">
      <c r="A67" s="4" t="s">
        <v>145</v>
      </c>
      <c r="B67" s="4" t="s">
        <v>29</v>
      </c>
      <c r="C67" s="4" t="s">
        <v>584</v>
      </c>
      <c r="D67" s="4" t="s">
        <v>87</v>
      </c>
      <c r="E67" s="4">
        <v>31</v>
      </c>
      <c r="F67" s="4">
        <v>0.5</v>
      </c>
      <c r="G67" s="6">
        <f t="shared" ref="G67:G130" si="2">VLOOKUP(F67,$K$10:$M$15,3,1)</f>
        <v>2</v>
      </c>
      <c r="H67" s="3" t="str">
        <f t="shared" ref="H67:H130" si="3">_xlfn.IFS(G67=0,"☆",G67=0.5,"½", G67=1,"★",G67 =1.5,"★½", G67 =2.5,"★★½", G67=2,"★★", G67=3,"★★★", G67 =3.5,"★★★½",G67=4,"★★★★", G67 =4.5,"★★★★½", G67=5,"★★★★★")</f>
        <v>★★</v>
      </c>
    </row>
    <row r="68" spans="1:8" x14ac:dyDescent="0.25">
      <c r="A68" s="4" t="s">
        <v>698</v>
      </c>
      <c r="B68" s="4" t="s">
        <v>29</v>
      </c>
      <c r="C68" s="4" t="s">
        <v>116</v>
      </c>
      <c r="D68" s="4" t="s">
        <v>21</v>
      </c>
      <c r="E68" s="4">
        <v>29</v>
      </c>
      <c r="F68" s="4">
        <v>0</v>
      </c>
      <c r="G68" s="6">
        <f t="shared" si="2"/>
        <v>1</v>
      </c>
      <c r="H68" s="3" t="str">
        <f t="shared" si="3"/>
        <v>★</v>
      </c>
    </row>
    <row r="69" spans="1:8" x14ac:dyDescent="0.25">
      <c r="A69" s="4" t="s">
        <v>146</v>
      </c>
      <c r="B69" s="4" t="s">
        <v>67</v>
      </c>
      <c r="C69" s="4" t="s">
        <v>109</v>
      </c>
      <c r="D69" s="4" t="s">
        <v>43</v>
      </c>
      <c r="E69" s="4">
        <v>20</v>
      </c>
      <c r="F69" s="4">
        <v>1.75</v>
      </c>
      <c r="G69" s="6">
        <f t="shared" si="2"/>
        <v>5</v>
      </c>
      <c r="H69" s="3" t="str">
        <f t="shared" si="3"/>
        <v>★★★★★</v>
      </c>
    </row>
    <row r="70" spans="1:8" x14ac:dyDescent="0.25">
      <c r="A70" s="4" t="s">
        <v>699</v>
      </c>
      <c r="B70" s="4" t="s">
        <v>67</v>
      </c>
      <c r="C70" s="4" t="s">
        <v>109</v>
      </c>
      <c r="D70" s="4" t="s">
        <v>63</v>
      </c>
      <c r="E70" s="4">
        <v>18</v>
      </c>
      <c r="F70" s="4">
        <v>0</v>
      </c>
      <c r="G70" s="6">
        <f t="shared" si="2"/>
        <v>1</v>
      </c>
      <c r="H70" s="3" t="str">
        <f t="shared" si="3"/>
        <v>★</v>
      </c>
    </row>
    <row r="71" spans="1:8" x14ac:dyDescent="0.25">
      <c r="A71" s="4" t="s">
        <v>147</v>
      </c>
      <c r="B71" s="4" t="s">
        <v>148</v>
      </c>
      <c r="C71" s="4" t="s">
        <v>476</v>
      </c>
      <c r="D71" s="4" t="s">
        <v>85</v>
      </c>
      <c r="E71" s="4">
        <v>24</v>
      </c>
      <c r="F71" s="4">
        <v>1.54</v>
      </c>
      <c r="G71" s="6">
        <f t="shared" si="2"/>
        <v>4</v>
      </c>
      <c r="H71" s="3" t="str">
        <f t="shared" si="3"/>
        <v>★★★★</v>
      </c>
    </row>
    <row r="72" spans="1:8" x14ac:dyDescent="0.25">
      <c r="A72" s="4" t="s">
        <v>700</v>
      </c>
      <c r="B72" s="4" t="s">
        <v>29</v>
      </c>
      <c r="C72" s="4" t="s">
        <v>109</v>
      </c>
      <c r="D72" s="4" t="s">
        <v>24</v>
      </c>
      <c r="E72" s="4">
        <v>16</v>
      </c>
      <c r="F72" s="4">
        <v>0</v>
      </c>
      <c r="G72" s="6">
        <f t="shared" si="2"/>
        <v>1</v>
      </c>
      <c r="H72" s="3" t="str">
        <f t="shared" si="3"/>
        <v>★</v>
      </c>
    </row>
    <row r="73" spans="1:8" x14ac:dyDescent="0.25">
      <c r="A73" s="4" t="s">
        <v>701</v>
      </c>
      <c r="B73" s="4" t="s">
        <v>60</v>
      </c>
      <c r="C73" s="4" t="s">
        <v>109</v>
      </c>
      <c r="D73" s="4" t="s">
        <v>69</v>
      </c>
      <c r="E73" s="4">
        <v>17</v>
      </c>
      <c r="F73" s="4">
        <v>0</v>
      </c>
      <c r="G73" s="6">
        <f t="shared" si="2"/>
        <v>1</v>
      </c>
      <c r="H73" s="3" t="str">
        <f t="shared" si="3"/>
        <v>★</v>
      </c>
    </row>
    <row r="74" spans="1:8" x14ac:dyDescent="0.25">
      <c r="A74" s="4" t="s">
        <v>149</v>
      </c>
      <c r="B74" s="4" t="s">
        <v>133</v>
      </c>
      <c r="C74" s="4" t="s">
        <v>109</v>
      </c>
      <c r="D74" s="4" t="s">
        <v>81</v>
      </c>
      <c r="E74" s="4">
        <v>30</v>
      </c>
      <c r="F74" s="4">
        <v>0.8</v>
      </c>
      <c r="G74" s="6">
        <f t="shared" si="2"/>
        <v>2</v>
      </c>
      <c r="H74" s="3" t="str">
        <f t="shared" si="3"/>
        <v>★★</v>
      </c>
    </row>
    <row r="75" spans="1:8" x14ac:dyDescent="0.25">
      <c r="A75" s="4" t="s">
        <v>702</v>
      </c>
      <c r="B75" s="4" t="s">
        <v>55</v>
      </c>
      <c r="C75" s="4" t="s">
        <v>109</v>
      </c>
      <c r="D75" s="4" t="s">
        <v>65</v>
      </c>
      <c r="E75" s="4">
        <v>20</v>
      </c>
      <c r="F75" s="4">
        <v>0</v>
      </c>
      <c r="G75" s="6">
        <f t="shared" si="2"/>
        <v>1</v>
      </c>
      <c r="H75" s="3" t="str">
        <f t="shared" si="3"/>
        <v>★</v>
      </c>
    </row>
    <row r="76" spans="1:8" x14ac:dyDescent="0.25">
      <c r="A76" s="4" t="s">
        <v>594</v>
      </c>
      <c r="B76" s="4" t="s">
        <v>29</v>
      </c>
      <c r="C76" s="4" t="s">
        <v>584</v>
      </c>
      <c r="D76" s="4" t="s">
        <v>18</v>
      </c>
      <c r="E76" s="4">
        <v>24</v>
      </c>
      <c r="F76" s="4">
        <v>1.47</v>
      </c>
      <c r="G76" s="6">
        <f t="shared" si="2"/>
        <v>4</v>
      </c>
      <c r="H76" s="3" t="str">
        <f t="shared" si="3"/>
        <v>★★★★</v>
      </c>
    </row>
    <row r="77" spans="1:8" x14ac:dyDescent="0.25">
      <c r="A77" s="4" t="s">
        <v>703</v>
      </c>
      <c r="B77" s="4" t="s">
        <v>165</v>
      </c>
      <c r="C77" s="4" t="s">
        <v>584</v>
      </c>
      <c r="D77" s="4" t="s">
        <v>15</v>
      </c>
      <c r="E77" s="4">
        <v>18</v>
      </c>
      <c r="F77" s="4">
        <v>0</v>
      </c>
      <c r="G77" s="6">
        <f t="shared" si="2"/>
        <v>1</v>
      </c>
      <c r="H77" s="3" t="str">
        <f t="shared" si="3"/>
        <v>★</v>
      </c>
    </row>
    <row r="78" spans="1:8" x14ac:dyDescent="0.25">
      <c r="A78" s="4" t="s">
        <v>150</v>
      </c>
      <c r="B78" s="4" t="s">
        <v>29</v>
      </c>
      <c r="C78" s="4" t="s">
        <v>109</v>
      </c>
      <c r="D78" s="4" t="s">
        <v>27</v>
      </c>
      <c r="E78" s="4">
        <v>19</v>
      </c>
      <c r="F78" s="4">
        <v>0.17</v>
      </c>
      <c r="G78" s="6">
        <f t="shared" si="2"/>
        <v>1</v>
      </c>
      <c r="H78" s="3" t="str">
        <f t="shared" si="3"/>
        <v>★</v>
      </c>
    </row>
    <row r="79" spans="1:8" x14ac:dyDescent="0.25">
      <c r="A79" s="4" t="s">
        <v>704</v>
      </c>
      <c r="B79" s="4" t="s">
        <v>52</v>
      </c>
      <c r="C79" s="4" t="s">
        <v>109</v>
      </c>
      <c r="D79" s="4" t="s">
        <v>27</v>
      </c>
      <c r="E79" s="4">
        <v>23</v>
      </c>
      <c r="F79" s="4">
        <v>0</v>
      </c>
      <c r="G79" s="6">
        <f t="shared" si="2"/>
        <v>1</v>
      </c>
      <c r="H79" s="3" t="str">
        <f t="shared" si="3"/>
        <v>★</v>
      </c>
    </row>
    <row r="80" spans="1:8" x14ac:dyDescent="0.25">
      <c r="A80" s="4" t="s">
        <v>595</v>
      </c>
      <c r="B80" s="4" t="s">
        <v>596</v>
      </c>
      <c r="C80" s="4" t="s">
        <v>109</v>
      </c>
      <c r="D80" s="4" t="s">
        <v>33</v>
      </c>
      <c r="E80" s="4">
        <v>19</v>
      </c>
      <c r="F80" s="4">
        <v>1.1299999999999999</v>
      </c>
      <c r="G80" s="6">
        <f t="shared" si="2"/>
        <v>3</v>
      </c>
      <c r="H80" s="3" t="str">
        <f t="shared" si="3"/>
        <v>★★★</v>
      </c>
    </row>
    <row r="81" spans="1:8" x14ac:dyDescent="0.25">
      <c r="A81" s="4" t="s">
        <v>151</v>
      </c>
      <c r="B81" s="4" t="s">
        <v>29</v>
      </c>
      <c r="C81" s="4" t="s">
        <v>116</v>
      </c>
      <c r="D81" s="4" t="s">
        <v>53</v>
      </c>
      <c r="E81" s="4">
        <v>25</v>
      </c>
      <c r="F81" s="4">
        <v>0.97</v>
      </c>
      <c r="G81" s="6">
        <f t="shared" si="2"/>
        <v>3</v>
      </c>
      <c r="H81" s="3" t="str">
        <f t="shared" si="3"/>
        <v>★★★</v>
      </c>
    </row>
    <row r="82" spans="1:8" x14ac:dyDescent="0.25">
      <c r="A82" s="4" t="s">
        <v>152</v>
      </c>
      <c r="B82" s="4" t="s">
        <v>29</v>
      </c>
      <c r="C82" s="4" t="s">
        <v>109</v>
      </c>
      <c r="D82" s="4" t="s">
        <v>87</v>
      </c>
      <c r="E82" s="4">
        <v>20</v>
      </c>
      <c r="F82" s="4">
        <v>0</v>
      </c>
      <c r="G82" s="6">
        <f t="shared" si="2"/>
        <v>1</v>
      </c>
      <c r="H82" s="3" t="str">
        <f t="shared" si="3"/>
        <v>★</v>
      </c>
    </row>
    <row r="83" spans="1:8" x14ac:dyDescent="0.25">
      <c r="A83" s="4" t="s">
        <v>481</v>
      </c>
      <c r="B83" s="4" t="s">
        <v>20</v>
      </c>
      <c r="C83" s="4" t="s">
        <v>171</v>
      </c>
      <c r="D83" s="4" t="s">
        <v>65</v>
      </c>
      <c r="E83" s="4">
        <v>20</v>
      </c>
      <c r="F83" s="4">
        <v>1.44</v>
      </c>
      <c r="G83" s="6">
        <f t="shared" si="2"/>
        <v>4</v>
      </c>
      <c r="H83" s="3" t="str">
        <f t="shared" si="3"/>
        <v>★★★★</v>
      </c>
    </row>
    <row r="84" spans="1:8" x14ac:dyDescent="0.25">
      <c r="A84" s="4" t="s">
        <v>482</v>
      </c>
      <c r="B84" s="4" t="s">
        <v>32</v>
      </c>
      <c r="C84" s="4" t="s">
        <v>171</v>
      </c>
      <c r="D84" s="4" t="s">
        <v>69</v>
      </c>
      <c r="E84" s="4">
        <v>24</v>
      </c>
      <c r="F84" s="4">
        <v>1.1100000000000001</v>
      </c>
      <c r="G84" s="6">
        <f t="shared" si="2"/>
        <v>3</v>
      </c>
      <c r="H84" s="3" t="str">
        <f t="shared" si="3"/>
        <v>★★★</v>
      </c>
    </row>
    <row r="85" spans="1:8" x14ac:dyDescent="0.25">
      <c r="A85" s="4" t="s">
        <v>705</v>
      </c>
      <c r="B85" s="4" t="s">
        <v>20</v>
      </c>
      <c r="C85" s="4" t="s">
        <v>109</v>
      </c>
      <c r="D85" s="4" t="s">
        <v>81</v>
      </c>
      <c r="E85" s="4">
        <v>18</v>
      </c>
      <c r="F85" s="4">
        <v>0</v>
      </c>
      <c r="G85" s="6">
        <f t="shared" si="2"/>
        <v>1</v>
      </c>
      <c r="H85" s="3" t="str">
        <f t="shared" si="3"/>
        <v>★</v>
      </c>
    </row>
    <row r="86" spans="1:8" x14ac:dyDescent="0.25">
      <c r="A86" s="4" t="s">
        <v>153</v>
      </c>
      <c r="B86" s="4" t="s">
        <v>29</v>
      </c>
      <c r="C86" s="4" t="s">
        <v>471</v>
      </c>
      <c r="D86" s="4" t="s">
        <v>85</v>
      </c>
      <c r="E86" s="4">
        <v>29</v>
      </c>
      <c r="F86" s="4">
        <v>1.31</v>
      </c>
      <c r="G86" s="6">
        <f t="shared" si="2"/>
        <v>4</v>
      </c>
      <c r="H86" s="3" t="str">
        <f t="shared" si="3"/>
        <v>★★★★</v>
      </c>
    </row>
    <row r="87" spans="1:8" x14ac:dyDescent="0.25">
      <c r="A87" s="4" t="s">
        <v>153</v>
      </c>
      <c r="B87" s="4" t="s">
        <v>29</v>
      </c>
      <c r="C87" s="4" t="s">
        <v>109</v>
      </c>
      <c r="D87" s="4" t="s">
        <v>35</v>
      </c>
      <c r="E87" s="4">
        <v>29</v>
      </c>
      <c r="F87" s="4">
        <v>1.94</v>
      </c>
      <c r="G87" s="6">
        <f t="shared" si="2"/>
        <v>5</v>
      </c>
      <c r="H87" s="3" t="str">
        <f t="shared" si="3"/>
        <v>★★★★★</v>
      </c>
    </row>
    <row r="88" spans="1:8" x14ac:dyDescent="0.25">
      <c r="A88" s="4" t="s">
        <v>28</v>
      </c>
      <c r="B88" s="4" t="s">
        <v>29</v>
      </c>
      <c r="C88" s="4" t="s">
        <v>116</v>
      </c>
      <c r="D88" s="4" t="s">
        <v>30</v>
      </c>
      <c r="E88" s="4">
        <v>28</v>
      </c>
      <c r="F88" s="4">
        <v>1.1100000000000001</v>
      </c>
      <c r="G88" s="6">
        <f t="shared" si="2"/>
        <v>3</v>
      </c>
      <c r="H88" s="3" t="str">
        <f t="shared" si="3"/>
        <v>★★★</v>
      </c>
    </row>
    <row r="89" spans="1:8" x14ac:dyDescent="0.25">
      <c r="A89" s="4" t="s">
        <v>154</v>
      </c>
      <c r="B89" s="4" t="s">
        <v>29</v>
      </c>
      <c r="C89" s="4" t="s">
        <v>109</v>
      </c>
      <c r="D89" s="4" t="s">
        <v>50</v>
      </c>
      <c r="E89" s="4">
        <v>27</v>
      </c>
      <c r="F89" s="4">
        <v>0.73</v>
      </c>
      <c r="G89" s="6">
        <f t="shared" si="2"/>
        <v>2</v>
      </c>
      <c r="H89" s="3" t="str">
        <f t="shared" si="3"/>
        <v>★★</v>
      </c>
    </row>
    <row r="90" spans="1:8" x14ac:dyDescent="0.25">
      <c r="A90" s="4" t="s">
        <v>31</v>
      </c>
      <c r="B90" s="4" t="s">
        <v>32</v>
      </c>
      <c r="C90" s="4" t="s">
        <v>109</v>
      </c>
      <c r="D90" s="4" t="s">
        <v>33</v>
      </c>
      <c r="E90" s="4">
        <v>39</v>
      </c>
      <c r="F90" s="4">
        <v>0.5</v>
      </c>
      <c r="G90" s="6">
        <f t="shared" si="2"/>
        <v>2</v>
      </c>
      <c r="H90" s="3" t="str">
        <f t="shared" si="3"/>
        <v>★★</v>
      </c>
    </row>
    <row r="91" spans="1:8" x14ac:dyDescent="0.25">
      <c r="A91" s="4" t="s">
        <v>155</v>
      </c>
      <c r="B91" s="4" t="s">
        <v>156</v>
      </c>
      <c r="C91" s="4" t="s">
        <v>109</v>
      </c>
      <c r="D91" s="4" t="s">
        <v>85</v>
      </c>
      <c r="E91" s="4">
        <v>19</v>
      </c>
      <c r="F91" s="4">
        <v>2.13</v>
      </c>
      <c r="G91" s="6">
        <f t="shared" si="2"/>
        <v>5</v>
      </c>
      <c r="H91" s="3" t="str">
        <f t="shared" si="3"/>
        <v>★★★★★</v>
      </c>
    </row>
    <row r="92" spans="1:8" x14ac:dyDescent="0.25">
      <c r="A92" s="4" t="s">
        <v>597</v>
      </c>
      <c r="B92" s="4" t="s">
        <v>29</v>
      </c>
      <c r="C92" s="4" t="s">
        <v>109</v>
      </c>
      <c r="D92" s="4" t="s">
        <v>27</v>
      </c>
      <c r="E92" s="4">
        <v>24</v>
      </c>
      <c r="F92" s="4">
        <v>1.18</v>
      </c>
      <c r="G92" s="6">
        <f t="shared" si="2"/>
        <v>3</v>
      </c>
      <c r="H92" s="3" t="str">
        <f t="shared" si="3"/>
        <v>★★★</v>
      </c>
    </row>
    <row r="93" spans="1:8" x14ac:dyDescent="0.25">
      <c r="A93" s="4" t="s">
        <v>157</v>
      </c>
      <c r="B93" s="4" t="s">
        <v>52</v>
      </c>
      <c r="C93" s="4" t="s">
        <v>584</v>
      </c>
      <c r="D93" s="4" t="s">
        <v>81</v>
      </c>
      <c r="E93" s="4">
        <v>18</v>
      </c>
      <c r="F93" s="4">
        <v>0</v>
      </c>
      <c r="G93" s="6">
        <f t="shared" si="2"/>
        <v>1</v>
      </c>
      <c r="H93" s="3" t="str">
        <f t="shared" si="3"/>
        <v>★</v>
      </c>
    </row>
    <row r="94" spans="1:8" x14ac:dyDescent="0.25">
      <c r="A94" s="4" t="s">
        <v>158</v>
      </c>
      <c r="B94" s="4" t="s">
        <v>83</v>
      </c>
      <c r="C94" s="4" t="s">
        <v>109</v>
      </c>
      <c r="D94" s="4" t="s">
        <v>39</v>
      </c>
      <c r="E94" s="4">
        <v>27</v>
      </c>
      <c r="F94" s="4">
        <v>2.42</v>
      </c>
      <c r="G94" s="6">
        <f t="shared" si="2"/>
        <v>5</v>
      </c>
      <c r="H94" s="3" t="str">
        <f t="shared" si="3"/>
        <v>★★★★★</v>
      </c>
    </row>
    <row r="95" spans="1:8" x14ac:dyDescent="0.25">
      <c r="A95" s="4" t="s">
        <v>159</v>
      </c>
      <c r="B95" s="4" t="s">
        <v>20</v>
      </c>
      <c r="C95" s="4" t="s">
        <v>116</v>
      </c>
      <c r="D95" s="4" t="s">
        <v>43</v>
      </c>
      <c r="E95" s="4">
        <v>24</v>
      </c>
      <c r="F95" s="4">
        <v>1.06</v>
      </c>
      <c r="G95" s="6">
        <f t="shared" si="2"/>
        <v>3</v>
      </c>
      <c r="H95" s="3" t="str">
        <f t="shared" si="3"/>
        <v>★★★</v>
      </c>
    </row>
    <row r="96" spans="1:8" x14ac:dyDescent="0.25">
      <c r="A96" s="4" t="s">
        <v>483</v>
      </c>
      <c r="B96" s="4" t="s">
        <v>29</v>
      </c>
      <c r="C96" s="4" t="s">
        <v>476</v>
      </c>
      <c r="D96" s="4" t="s">
        <v>50</v>
      </c>
      <c r="E96" s="4">
        <v>23</v>
      </c>
      <c r="F96" s="4">
        <v>0.38</v>
      </c>
      <c r="G96" s="6">
        <f t="shared" si="2"/>
        <v>2</v>
      </c>
      <c r="H96" s="3" t="str">
        <f t="shared" si="3"/>
        <v>★★</v>
      </c>
    </row>
    <row r="97" spans="1:8" x14ac:dyDescent="0.25">
      <c r="A97" s="4" t="s">
        <v>706</v>
      </c>
      <c r="B97" s="4" t="s">
        <v>29</v>
      </c>
      <c r="C97" s="4" t="s">
        <v>116</v>
      </c>
      <c r="D97" s="4" t="s">
        <v>39</v>
      </c>
      <c r="E97" s="4">
        <v>35</v>
      </c>
      <c r="F97" s="4">
        <v>0</v>
      </c>
      <c r="G97" s="6">
        <f t="shared" si="2"/>
        <v>1</v>
      </c>
      <c r="H97" s="3" t="str">
        <f t="shared" si="3"/>
        <v>★</v>
      </c>
    </row>
    <row r="98" spans="1:8" x14ac:dyDescent="0.25">
      <c r="A98" s="4" t="s">
        <v>160</v>
      </c>
      <c r="B98" s="4" t="s">
        <v>41</v>
      </c>
      <c r="C98" s="4" t="s">
        <v>109</v>
      </c>
      <c r="D98" s="4" t="s">
        <v>69</v>
      </c>
      <c r="E98" s="4">
        <v>23</v>
      </c>
      <c r="F98" s="4">
        <v>1.18</v>
      </c>
      <c r="G98" s="6">
        <f t="shared" si="2"/>
        <v>3</v>
      </c>
      <c r="H98" s="3" t="str">
        <f t="shared" si="3"/>
        <v>★★★</v>
      </c>
    </row>
    <row r="99" spans="1:8" x14ac:dyDescent="0.25">
      <c r="A99" s="4" t="s">
        <v>161</v>
      </c>
      <c r="B99" s="4" t="s">
        <v>162</v>
      </c>
      <c r="C99" s="4" t="s">
        <v>471</v>
      </c>
      <c r="D99" s="4" t="s">
        <v>87</v>
      </c>
      <c r="E99" s="4">
        <v>25</v>
      </c>
      <c r="F99" s="4">
        <v>1.52</v>
      </c>
      <c r="G99" s="6">
        <f t="shared" si="2"/>
        <v>4</v>
      </c>
      <c r="H99" s="3" t="str">
        <f t="shared" si="3"/>
        <v>★★★★</v>
      </c>
    </row>
    <row r="100" spans="1:8" x14ac:dyDescent="0.25">
      <c r="A100" s="4" t="s">
        <v>163</v>
      </c>
      <c r="B100" s="4" t="s">
        <v>20</v>
      </c>
      <c r="C100" s="4" t="s">
        <v>109</v>
      </c>
      <c r="D100" s="4" t="s">
        <v>81</v>
      </c>
      <c r="E100" s="4">
        <v>27</v>
      </c>
      <c r="F100" s="4">
        <v>0.85</v>
      </c>
      <c r="G100" s="6">
        <f t="shared" si="2"/>
        <v>2</v>
      </c>
      <c r="H100" s="3" t="str">
        <f t="shared" si="3"/>
        <v>★★</v>
      </c>
    </row>
    <row r="101" spans="1:8" x14ac:dyDescent="0.25">
      <c r="A101" s="4" t="s">
        <v>164</v>
      </c>
      <c r="B101" s="4" t="s">
        <v>165</v>
      </c>
      <c r="C101" s="4" t="s">
        <v>109</v>
      </c>
      <c r="D101" s="4" t="s">
        <v>24</v>
      </c>
      <c r="E101" s="4">
        <v>32</v>
      </c>
      <c r="F101" s="4">
        <v>0.74</v>
      </c>
      <c r="G101" s="6">
        <f t="shared" si="2"/>
        <v>2</v>
      </c>
      <c r="H101" s="3" t="str">
        <f t="shared" si="3"/>
        <v>★★</v>
      </c>
    </row>
    <row r="102" spans="1:8" x14ac:dyDescent="0.25">
      <c r="A102" s="4" t="s">
        <v>598</v>
      </c>
      <c r="B102" s="4" t="s">
        <v>142</v>
      </c>
      <c r="C102" s="4" t="s">
        <v>476</v>
      </c>
      <c r="D102" s="4" t="s">
        <v>47</v>
      </c>
      <c r="E102" s="4">
        <v>34</v>
      </c>
      <c r="F102" s="4">
        <v>1.47</v>
      </c>
      <c r="G102" s="6">
        <f t="shared" si="2"/>
        <v>4</v>
      </c>
      <c r="H102" s="3" t="str">
        <f t="shared" si="3"/>
        <v>★★★★</v>
      </c>
    </row>
    <row r="103" spans="1:8" x14ac:dyDescent="0.25">
      <c r="A103" s="4" t="s">
        <v>599</v>
      </c>
      <c r="B103" s="4" t="s">
        <v>14</v>
      </c>
      <c r="C103" s="4" t="s">
        <v>109</v>
      </c>
      <c r="D103" s="4" t="s">
        <v>39</v>
      </c>
      <c r="E103" s="4">
        <v>18</v>
      </c>
      <c r="F103" s="4">
        <v>3</v>
      </c>
      <c r="G103" s="6">
        <f t="shared" si="2"/>
        <v>5</v>
      </c>
      <c r="H103" s="3" t="str">
        <f t="shared" si="3"/>
        <v>★★★★★</v>
      </c>
    </row>
    <row r="104" spans="1:8" x14ac:dyDescent="0.25">
      <c r="A104" s="4" t="s">
        <v>166</v>
      </c>
      <c r="B104" s="4" t="s">
        <v>29</v>
      </c>
      <c r="C104" s="4" t="s">
        <v>116</v>
      </c>
      <c r="D104" s="4" t="s">
        <v>21</v>
      </c>
      <c r="E104" s="4">
        <v>22</v>
      </c>
      <c r="F104" s="4">
        <v>2.2999999999999998</v>
      </c>
      <c r="G104" s="6">
        <f t="shared" si="2"/>
        <v>5</v>
      </c>
      <c r="H104" s="3" t="str">
        <f t="shared" si="3"/>
        <v>★★★★★</v>
      </c>
    </row>
    <row r="105" spans="1:8" x14ac:dyDescent="0.25">
      <c r="A105" s="4" t="s">
        <v>167</v>
      </c>
      <c r="B105" s="4" t="s">
        <v>29</v>
      </c>
      <c r="C105" s="4" t="s">
        <v>584</v>
      </c>
      <c r="D105" s="4" t="s">
        <v>69</v>
      </c>
      <c r="E105" s="4">
        <v>26</v>
      </c>
      <c r="F105" s="4">
        <v>1.36</v>
      </c>
      <c r="G105" s="6">
        <f t="shared" si="2"/>
        <v>4</v>
      </c>
      <c r="H105" s="3" t="str">
        <f t="shared" si="3"/>
        <v>★★★★</v>
      </c>
    </row>
    <row r="106" spans="1:8" x14ac:dyDescent="0.25">
      <c r="A106" s="4" t="s">
        <v>167</v>
      </c>
      <c r="B106" s="4" t="s">
        <v>29</v>
      </c>
      <c r="C106" s="4" t="s">
        <v>171</v>
      </c>
      <c r="D106" s="4" t="s">
        <v>63</v>
      </c>
      <c r="E106" s="4">
        <v>26</v>
      </c>
      <c r="F106" s="4">
        <v>0</v>
      </c>
      <c r="G106" s="6">
        <f t="shared" si="2"/>
        <v>1</v>
      </c>
      <c r="H106" s="3" t="str">
        <f t="shared" si="3"/>
        <v>★</v>
      </c>
    </row>
    <row r="107" spans="1:8" x14ac:dyDescent="0.25">
      <c r="A107" s="4" t="s">
        <v>707</v>
      </c>
      <c r="B107" s="4" t="s">
        <v>29</v>
      </c>
      <c r="C107" s="4" t="s">
        <v>109</v>
      </c>
      <c r="D107" s="4" t="s">
        <v>33</v>
      </c>
      <c r="E107" s="4">
        <v>18</v>
      </c>
      <c r="F107" s="4">
        <v>0</v>
      </c>
      <c r="G107" s="6">
        <f t="shared" si="2"/>
        <v>1</v>
      </c>
      <c r="H107" s="3" t="str">
        <f t="shared" si="3"/>
        <v>★</v>
      </c>
    </row>
    <row r="108" spans="1:8" x14ac:dyDescent="0.25">
      <c r="A108" s="4" t="s">
        <v>168</v>
      </c>
      <c r="B108" s="4" t="s">
        <v>29</v>
      </c>
      <c r="C108" s="4" t="s">
        <v>676</v>
      </c>
      <c r="D108" s="4" t="s">
        <v>18</v>
      </c>
      <c r="E108" s="4">
        <v>19</v>
      </c>
      <c r="F108" s="4">
        <v>0</v>
      </c>
      <c r="G108" s="6">
        <f t="shared" si="2"/>
        <v>1</v>
      </c>
      <c r="H108" s="3" t="str">
        <f t="shared" si="3"/>
        <v>★</v>
      </c>
    </row>
    <row r="109" spans="1:8" x14ac:dyDescent="0.25">
      <c r="A109" s="4" t="s">
        <v>169</v>
      </c>
      <c r="B109" s="4" t="s">
        <v>29</v>
      </c>
      <c r="C109" s="4" t="s">
        <v>471</v>
      </c>
      <c r="D109" s="4" t="s">
        <v>21</v>
      </c>
      <c r="E109" s="4">
        <v>24</v>
      </c>
      <c r="F109" s="4">
        <v>2.71</v>
      </c>
      <c r="G109" s="6">
        <f t="shared" si="2"/>
        <v>5</v>
      </c>
      <c r="H109" s="3" t="str">
        <f t="shared" si="3"/>
        <v>★★★★★</v>
      </c>
    </row>
    <row r="110" spans="1:8" x14ac:dyDescent="0.25">
      <c r="A110" s="4" t="s">
        <v>170</v>
      </c>
      <c r="B110" s="4" t="s">
        <v>83</v>
      </c>
      <c r="C110" s="4" t="s">
        <v>109</v>
      </c>
      <c r="D110" s="4" t="s">
        <v>81</v>
      </c>
      <c r="E110" s="4">
        <v>21</v>
      </c>
      <c r="F110" s="4">
        <v>1</v>
      </c>
      <c r="G110" s="6">
        <f t="shared" si="2"/>
        <v>3</v>
      </c>
      <c r="H110" s="3" t="str">
        <f t="shared" si="3"/>
        <v>★★★</v>
      </c>
    </row>
    <row r="111" spans="1:8" x14ac:dyDescent="0.25">
      <c r="A111" s="4" t="s">
        <v>172</v>
      </c>
      <c r="B111" s="4" t="s">
        <v>29</v>
      </c>
      <c r="C111" s="4" t="s">
        <v>116</v>
      </c>
      <c r="D111" s="4" t="s">
        <v>87</v>
      </c>
      <c r="E111" s="4">
        <v>23</v>
      </c>
      <c r="F111" s="4">
        <v>1.33</v>
      </c>
      <c r="G111" s="6">
        <f t="shared" si="2"/>
        <v>4</v>
      </c>
      <c r="H111" s="3" t="str">
        <f t="shared" si="3"/>
        <v>★★★★</v>
      </c>
    </row>
    <row r="112" spans="1:8" x14ac:dyDescent="0.25">
      <c r="A112" s="4" t="s">
        <v>708</v>
      </c>
      <c r="B112" s="4" t="s">
        <v>29</v>
      </c>
      <c r="C112" s="4" t="s">
        <v>584</v>
      </c>
      <c r="D112" s="4" t="s">
        <v>69</v>
      </c>
      <c r="E112" s="4">
        <v>17</v>
      </c>
      <c r="F112" s="4">
        <v>0</v>
      </c>
      <c r="G112" s="6">
        <f t="shared" si="2"/>
        <v>1</v>
      </c>
      <c r="H112" s="3" t="str">
        <f t="shared" si="3"/>
        <v>★</v>
      </c>
    </row>
    <row r="113" spans="1:8" x14ac:dyDescent="0.25">
      <c r="A113" s="4" t="s">
        <v>173</v>
      </c>
      <c r="B113" s="4" t="s">
        <v>67</v>
      </c>
      <c r="C113" s="4" t="s">
        <v>109</v>
      </c>
      <c r="D113" s="4" t="s">
        <v>21</v>
      </c>
      <c r="E113" s="4">
        <v>25</v>
      </c>
      <c r="F113" s="4">
        <v>2.21</v>
      </c>
      <c r="G113" s="6">
        <f t="shared" si="2"/>
        <v>5</v>
      </c>
      <c r="H113" s="3" t="str">
        <f t="shared" si="3"/>
        <v>★★★★★</v>
      </c>
    </row>
    <row r="114" spans="1:8" x14ac:dyDescent="0.25">
      <c r="A114" s="4" t="s">
        <v>484</v>
      </c>
      <c r="B114" s="4" t="s">
        <v>29</v>
      </c>
      <c r="C114" s="4" t="s">
        <v>116</v>
      </c>
      <c r="D114" s="4" t="s">
        <v>69</v>
      </c>
      <c r="E114" s="4">
        <v>17</v>
      </c>
      <c r="F114" s="4">
        <v>1.33</v>
      </c>
      <c r="G114" s="6">
        <f t="shared" si="2"/>
        <v>4</v>
      </c>
      <c r="H114" s="3" t="str">
        <f t="shared" si="3"/>
        <v>★★★★</v>
      </c>
    </row>
    <row r="115" spans="1:8" x14ac:dyDescent="0.25">
      <c r="A115" s="4" t="s">
        <v>174</v>
      </c>
      <c r="B115" s="4" t="s">
        <v>55</v>
      </c>
      <c r="C115" s="4" t="s">
        <v>584</v>
      </c>
      <c r="D115" s="4" t="s">
        <v>35</v>
      </c>
      <c r="E115" s="4">
        <v>31</v>
      </c>
      <c r="F115" s="4">
        <v>0.69</v>
      </c>
      <c r="G115" s="6">
        <f t="shared" si="2"/>
        <v>2</v>
      </c>
      <c r="H115" s="3" t="str">
        <f t="shared" si="3"/>
        <v>★★</v>
      </c>
    </row>
    <row r="116" spans="1:8" x14ac:dyDescent="0.25">
      <c r="A116" s="4" t="s">
        <v>175</v>
      </c>
      <c r="B116" s="4" t="s">
        <v>29</v>
      </c>
      <c r="C116" s="4" t="s">
        <v>584</v>
      </c>
      <c r="D116" s="4" t="s">
        <v>24</v>
      </c>
      <c r="E116" s="4">
        <v>31</v>
      </c>
      <c r="F116" s="4">
        <v>0.56999999999999995</v>
      </c>
      <c r="G116" s="6">
        <f t="shared" si="2"/>
        <v>2</v>
      </c>
      <c r="H116" s="3" t="str">
        <f t="shared" si="3"/>
        <v>★★</v>
      </c>
    </row>
    <row r="117" spans="1:8" x14ac:dyDescent="0.25">
      <c r="A117" s="4" t="s">
        <v>176</v>
      </c>
      <c r="B117" s="4" t="s">
        <v>29</v>
      </c>
      <c r="C117" s="4" t="s">
        <v>116</v>
      </c>
      <c r="D117" s="4" t="s">
        <v>30</v>
      </c>
      <c r="E117" s="4">
        <v>30</v>
      </c>
      <c r="F117" s="4">
        <v>1.56</v>
      </c>
      <c r="G117" s="6">
        <f t="shared" si="2"/>
        <v>4</v>
      </c>
      <c r="H117" s="3" t="str">
        <f t="shared" si="3"/>
        <v>★★★★</v>
      </c>
    </row>
    <row r="118" spans="1:8" x14ac:dyDescent="0.25">
      <c r="A118" s="4" t="s">
        <v>177</v>
      </c>
      <c r="B118" s="4" t="s">
        <v>29</v>
      </c>
      <c r="C118" s="4" t="s">
        <v>116</v>
      </c>
      <c r="D118" s="4" t="s">
        <v>81</v>
      </c>
      <c r="E118" s="4">
        <v>28</v>
      </c>
      <c r="F118" s="4">
        <v>1.34</v>
      </c>
      <c r="G118" s="6">
        <f t="shared" si="2"/>
        <v>4</v>
      </c>
      <c r="H118" s="3" t="str">
        <f t="shared" si="3"/>
        <v>★★★★</v>
      </c>
    </row>
    <row r="119" spans="1:8" x14ac:dyDescent="0.25">
      <c r="A119" s="4" t="s">
        <v>178</v>
      </c>
      <c r="B119" s="4" t="s">
        <v>55</v>
      </c>
      <c r="C119" s="4" t="s">
        <v>476</v>
      </c>
      <c r="D119" s="4" t="s">
        <v>27</v>
      </c>
      <c r="E119" s="4">
        <v>32</v>
      </c>
      <c r="F119" s="4">
        <v>1.1299999999999999</v>
      </c>
      <c r="G119" s="6">
        <f t="shared" si="2"/>
        <v>3</v>
      </c>
      <c r="H119" s="3" t="str">
        <f t="shared" si="3"/>
        <v>★★★</v>
      </c>
    </row>
    <row r="120" spans="1:8" x14ac:dyDescent="0.25">
      <c r="A120" s="4" t="s">
        <v>179</v>
      </c>
      <c r="B120" s="4" t="s">
        <v>55</v>
      </c>
      <c r="C120" s="4" t="s">
        <v>116</v>
      </c>
      <c r="D120" s="4" t="s">
        <v>53</v>
      </c>
      <c r="E120" s="4">
        <v>20</v>
      </c>
      <c r="F120" s="4">
        <v>1.05</v>
      </c>
      <c r="G120" s="6">
        <f t="shared" si="2"/>
        <v>3</v>
      </c>
      <c r="H120" s="3" t="str">
        <f t="shared" si="3"/>
        <v>★★★</v>
      </c>
    </row>
    <row r="121" spans="1:8" x14ac:dyDescent="0.25">
      <c r="A121" s="4" t="s">
        <v>600</v>
      </c>
      <c r="B121" s="4" t="s">
        <v>55</v>
      </c>
      <c r="C121" s="4" t="s">
        <v>116</v>
      </c>
      <c r="D121" s="4" t="s">
        <v>85</v>
      </c>
      <c r="E121" s="4">
        <v>21</v>
      </c>
      <c r="F121" s="4">
        <v>1.25</v>
      </c>
      <c r="G121" s="6">
        <f t="shared" si="2"/>
        <v>3</v>
      </c>
      <c r="H121" s="3" t="str">
        <f t="shared" si="3"/>
        <v>★★★</v>
      </c>
    </row>
    <row r="122" spans="1:8" x14ac:dyDescent="0.25">
      <c r="A122" s="4" t="s">
        <v>709</v>
      </c>
      <c r="B122" s="4" t="s">
        <v>710</v>
      </c>
      <c r="C122" s="4" t="s">
        <v>109</v>
      </c>
      <c r="D122" s="4" t="s">
        <v>24</v>
      </c>
      <c r="E122" s="4">
        <v>18</v>
      </c>
      <c r="F122" s="4">
        <v>0</v>
      </c>
      <c r="G122" s="6">
        <f t="shared" si="2"/>
        <v>1</v>
      </c>
      <c r="H122" s="3" t="str">
        <f t="shared" si="3"/>
        <v>★</v>
      </c>
    </row>
    <row r="123" spans="1:8" x14ac:dyDescent="0.25">
      <c r="A123" s="4" t="s">
        <v>180</v>
      </c>
      <c r="B123" s="4" t="s">
        <v>127</v>
      </c>
      <c r="C123" s="4" t="s">
        <v>584</v>
      </c>
      <c r="D123" s="4" t="s">
        <v>58</v>
      </c>
      <c r="E123" s="4">
        <v>29</v>
      </c>
      <c r="F123" s="4">
        <v>1.19</v>
      </c>
      <c r="G123" s="6">
        <f t="shared" si="2"/>
        <v>3</v>
      </c>
      <c r="H123" s="3" t="str">
        <f t="shared" si="3"/>
        <v>★★★</v>
      </c>
    </row>
    <row r="124" spans="1:8" x14ac:dyDescent="0.25">
      <c r="A124" s="4" t="s">
        <v>181</v>
      </c>
      <c r="B124" s="4" t="s">
        <v>29</v>
      </c>
      <c r="C124" s="4" t="s">
        <v>109</v>
      </c>
      <c r="D124" s="4" t="s">
        <v>53</v>
      </c>
      <c r="E124" s="4">
        <v>32</v>
      </c>
      <c r="F124" s="4">
        <v>1.05</v>
      </c>
      <c r="G124" s="6">
        <f t="shared" si="2"/>
        <v>3</v>
      </c>
      <c r="H124" s="3" t="str">
        <f t="shared" si="3"/>
        <v>★★★</v>
      </c>
    </row>
    <row r="125" spans="1:8" x14ac:dyDescent="0.25">
      <c r="A125" s="4" t="s">
        <v>485</v>
      </c>
      <c r="B125" s="4" t="s">
        <v>133</v>
      </c>
      <c r="C125" s="4" t="s">
        <v>109</v>
      </c>
      <c r="D125" s="4" t="s">
        <v>53</v>
      </c>
      <c r="E125" s="4">
        <v>24</v>
      </c>
      <c r="F125" s="4">
        <v>0.81</v>
      </c>
      <c r="G125" s="6">
        <f t="shared" si="2"/>
        <v>2</v>
      </c>
      <c r="H125" s="3" t="str">
        <f t="shared" si="3"/>
        <v>★★</v>
      </c>
    </row>
    <row r="126" spans="1:8" x14ac:dyDescent="0.25">
      <c r="A126" s="4" t="s">
        <v>182</v>
      </c>
      <c r="B126" s="4" t="s">
        <v>183</v>
      </c>
      <c r="C126" s="4" t="s">
        <v>109</v>
      </c>
      <c r="D126" s="4" t="s">
        <v>58</v>
      </c>
      <c r="E126" s="4">
        <v>27</v>
      </c>
      <c r="F126" s="4">
        <v>0</v>
      </c>
      <c r="G126" s="6">
        <f t="shared" si="2"/>
        <v>1</v>
      </c>
      <c r="H126" s="3" t="str">
        <f t="shared" si="3"/>
        <v>★</v>
      </c>
    </row>
    <row r="127" spans="1:8" x14ac:dyDescent="0.25">
      <c r="A127" s="4" t="s">
        <v>711</v>
      </c>
      <c r="B127" s="4" t="s">
        <v>55</v>
      </c>
      <c r="C127" s="4" t="s">
        <v>109</v>
      </c>
      <c r="D127" s="4" t="s">
        <v>53</v>
      </c>
      <c r="E127" s="4">
        <v>18</v>
      </c>
      <c r="F127" s="4">
        <v>0</v>
      </c>
      <c r="G127" s="6">
        <f t="shared" si="2"/>
        <v>1</v>
      </c>
      <c r="H127" s="3" t="str">
        <f t="shared" si="3"/>
        <v>★</v>
      </c>
    </row>
    <row r="128" spans="1:8" x14ac:dyDescent="0.25">
      <c r="A128" s="4" t="s">
        <v>184</v>
      </c>
      <c r="B128" s="4" t="s">
        <v>185</v>
      </c>
      <c r="C128" s="4" t="s">
        <v>116</v>
      </c>
      <c r="D128" s="4" t="s">
        <v>18</v>
      </c>
      <c r="E128" s="4">
        <v>28</v>
      </c>
      <c r="F128" s="4">
        <v>1.39</v>
      </c>
      <c r="G128" s="6">
        <f t="shared" si="2"/>
        <v>4</v>
      </c>
      <c r="H128" s="3" t="str">
        <f t="shared" si="3"/>
        <v>★★★★</v>
      </c>
    </row>
    <row r="129" spans="1:8" x14ac:dyDescent="0.25">
      <c r="A129" s="4" t="s">
        <v>486</v>
      </c>
      <c r="B129" s="4" t="s">
        <v>14</v>
      </c>
      <c r="C129" s="4" t="s">
        <v>476</v>
      </c>
      <c r="D129" s="4" t="s">
        <v>69</v>
      </c>
      <c r="E129" s="4">
        <v>29</v>
      </c>
      <c r="F129" s="4">
        <v>1.21</v>
      </c>
      <c r="G129" s="6">
        <f t="shared" si="2"/>
        <v>3</v>
      </c>
      <c r="H129" s="3" t="str">
        <f t="shared" si="3"/>
        <v>★★★</v>
      </c>
    </row>
    <row r="130" spans="1:8" x14ac:dyDescent="0.25">
      <c r="A130" s="4" t="s">
        <v>712</v>
      </c>
      <c r="B130" s="4" t="s">
        <v>55</v>
      </c>
      <c r="C130" s="4" t="s">
        <v>109</v>
      </c>
      <c r="D130" s="4" t="s">
        <v>18</v>
      </c>
      <c r="E130" s="4">
        <v>21</v>
      </c>
      <c r="F130" s="4">
        <v>0</v>
      </c>
      <c r="G130" s="6">
        <f t="shared" si="2"/>
        <v>1</v>
      </c>
      <c r="H130" s="3" t="str">
        <f t="shared" si="3"/>
        <v>★</v>
      </c>
    </row>
    <row r="131" spans="1:8" x14ac:dyDescent="0.25">
      <c r="A131" s="4" t="s">
        <v>713</v>
      </c>
      <c r="B131" s="4" t="s">
        <v>29</v>
      </c>
      <c r="C131" s="4" t="s">
        <v>109</v>
      </c>
      <c r="D131" s="4" t="s">
        <v>43</v>
      </c>
      <c r="E131" s="4">
        <v>18</v>
      </c>
      <c r="F131" s="4">
        <v>0</v>
      </c>
      <c r="G131" s="6">
        <f t="shared" ref="G131:G194" si="4">VLOOKUP(F131,$K$10:$M$15,3,1)</f>
        <v>1</v>
      </c>
      <c r="H131" s="3" t="str">
        <f t="shared" ref="H131:H194" si="5">_xlfn.IFS(G131=0,"☆",G131=0.5,"½", G131=1,"★",G131 =1.5,"★½", G131 =2.5,"★★½", G131=2,"★★", G131=3,"★★★", G131 =3.5,"★★★½",G131=4,"★★★★", G131 =4.5,"★★★★½", G131=5,"★★★★★")</f>
        <v>★</v>
      </c>
    </row>
    <row r="132" spans="1:8" x14ac:dyDescent="0.25">
      <c r="A132" s="4" t="s">
        <v>714</v>
      </c>
      <c r="B132" s="4" t="s">
        <v>127</v>
      </c>
      <c r="C132" s="4" t="s">
        <v>116</v>
      </c>
      <c r="D132" s="4" t="s">
        <v>65</v>
      </c>
      <c r="E132" s="4">
        <v>18</v>
      </c>
      <c r="F132" s="4">
        <v>0</v>
      </c>
      <c r="G132" s="6">
        <f t="shared" si="4"/>
        <v>1</v>
      </c>
      <c r="H132" s="3" t="str">
        <f t="shared" si="5"/>
        <v>★</v>
      </c>
    </row>
    <row r="133" spans="1:8" x14ac:dyDescent="0.25">
      <c r="A133" s="4" t="s">
        <v>186</v>
      </c>
      <c r="B133" s="4" t="s">
        <v>29</v>
      </c>
      <c r="C133" s="4" t="s">
        <v>476</v>
      </c>
      <c r="D133" s="4" t="s">
        <v>18</v>
      </c>
      <c r="E133" s="4">
        <v>31</v>
      </c>
      <c r="F133" s="4">
        <v>1.45</v>
      </c>
      <c r="G133" s="6">
        <f t="shared" si="4"/>
        <v>4</v>
      </c>
      <c r="H133" s="3" t="str">
        <f t="shared" si="5"/>
        <v>★★★★</v>
      </c>
    </row>
    <row r="134" spans="1:8" x14ac:dyDescent="0.25">
      <c r="A134" s="4" t="s">
        <v>187</v>
      </c>
      <c r="B134" s="4" t="s">
        <v>29</v>
      </c>
      <c r="C134" s="4" t="s">
        <v>109</v>
      </c>
      <c r="D134" s="4" t="s">
        <v>58</v>
      </c>
      <c r="E134" s="4">
        <v>18</v>
      </c>
      <c r="F134" s="4">
        <v>1.4</v>
      </c>
      <c r="G134" s="6">
        <f t="shared" si="4"/>
        <v>4</v>
      </c>
      <c r="H134" s="3" t="str">
        <f t="shared" si="5"/>
        <v>★★★★</v>
      </c>
    </row>
    <row r="135" spans="1:8" x14ac:dyDescent="0.25">
      <c r="A135" s="4" t="s">
        <v>487</v>
      </c>
      <c r="B135" s="4" t="s">
        <v>122</v>
      </c>
      <c r="C135" s="4" t="s">
        <v>676</v>
      </c>
      <c r="D135" s="4" t="s">
        <v>24</v>
      </c>
      <c r="E135" s="4">
        <v>22</v>
      </c>
      <c r="F135" s="4">
        <v>0.68</v>
      </c>
      <c r="G135" s="6">
        <f t="shared" si="4"/>
        <v>2</v>
      </c>
      <c r="H135" s="3" t="str">
        <f t="shared" si="5"/>
        <v>★★</v>
      </c>
    </row>
    <row r="136" spans="1:8" x14ac:dyDescent="0.25">
      <c r="A136" s="4" t="s">
        <v>188</v>
      </c>
      <c r="B136" s="4" t="s">
        <v>20</v>
      </c>
      <c r="C136" s="4" t="s">
        <v>109</v>
      </c>
      <c r="D136" s="4" t="s">
        <v>85</v>
      </c>
      <c r="E136" s="4">
        <v>23</v>
      </c>
      <c r="F136" s="4">
        <v>1.29</v>
      </c>
      <c r="G136" s="6">
        <f t="shared" si="4"/>
        <v>4</v>
      </c>
      <c r="H136" s="3" t="str">
        <f t="shared" si="5"/>
        <v>★★★★</v>
      </c>
    </row>
    <row r="137" spans="1:8" x14ac:dyDescent="0.25">
      <c r="A137" s="4" t="s">
        <v>715</v>
      </c>
      <c r="B137" s="4" t="s">
        <v>279</v>
      </c>
      <c r="C137" s="4" t="s">
        <v>109</v>
      </c>
      <c r="D137" s="4" t="s">
        <v>24</v>
      </c>
      <c r="E137" s="4">
        <v>18</v>
      </c>
      <c r="F137" s="4">
        <v>0</v>
      </c>
      <c r="G137" s="6">
        <f t="shared" si="4"/>
        <v>1</v>
      </c>
      <c r="H137" s="3" t="str">
        <f t="shared" si="5"/>
        <v>★</v>
      </c>
    </row>
    <row r="138" spans="1:8" x14ac:dyDescent="0.25">
      <c r="A138" s="4" t="s">
        <v>189</v>
      </c>
      <c r="B138" s="4" t="s">
        <v>29</v>
      </c>
      <c r="C138" s="4" t="s">
        <v>109</v>
      </c>
      <c r="D138" s="4" t="s">
        <v>81</v>
      </c>
      <c r="E138" s="4">
        <v>19</v>
      </c>
      <c r="F138" s="4">
        <v>1.5</v>
      </c>
      <c r="G138" s="6">
        <f t="shared" si="4"/>
        <v>4</v>
      </c>
      <c r="H138" s="3" t="str">
        <f t="shared" si="5"/>
        <v>★★★★</v>
      </c>
    </row>
    <row r="139" spans="1:8" x14ac:dyDescent="0.25">
      <c r="A139" s="4" t="s">
        <v>601</v>
      </c>
      <c r="B139" s="4" t="s">
        <v>530</v>
      </c>
      <c r="C139" s="4" t="s">
        <v>676</v>
      </c>
      <c r="D139" s="4" t="s">
        <v>87</v>
      </c>
      <c r="E139" s="4">
        <v>22</v>
      </c>
      <c r="F139" s="4">
        <v>1.17</v>
      </c>
      <c r="G139" s="6">
        <f t="shared" si="4"/>
        <v>3</v>
      </c>
      <c r="H139" s="3" t="str">
        <f t="shared" si="5"/>
        <v>★★★</v>
      </c>
    </row>
    <row r="140" spans="1:8" x14ac:dyDescent="0.25">
      <c r="A140" s="4" t="s">
        <v>716</v>
      </c>
      <c r="B140" s="4" t="s">
        <v>29</v>
      </c>
      <c r="C140" s="4" t="s">
        <v>584</v>
      </c>
      <c r="D140" s="4" t="s">
        <v>87</v>
      </c>
      <c r="E140" s="4">
        <v>20</v>
      </c>
      <c r="F140" s="4">
        <v>0</v>
      </c>
      <c r="G140" s="6">
        <f t="shared" si="4"/>
        <v>1</v>
      </c>
      <c r="H140" s="3" t="str">
        <f t="shared" si="5"/>
        <v>★</v>
      </c>
    </row>
    <row r="141" spans="1:8" x14ac:dyDescent="0.25">
      <c r="A141" s="4" t="s">
        <v>190</v>
      </c>
      <c r="B141" s="4" t="s">
        <v>165</v>
      </c>
      <c r="C141" s="4" t="s">
        <v>109</v>
      </c>
      <c r="D141" s="4" t="s">
        <v>58</v>
      </c>
      <c r="E141" s="4">
        <v>30</v>
      </c>
      <c r="F141" s="4">
        <v>1</v>
      </c>
      <c r="G141" s="6">
        <f t="shared" si="4"/>
        <v>3</v>
      </c>
      <c r="H141" s="3" t="str">
        <f t="shared" si="5"/>
        <v>★★★</v>
      </c>
    </row>
    <row r="142" spans="1:8" x14ac:dyDescent="0.25">
      <c r="A142" s="4" t="s">
        <v>191</v>
      </c>
      <c r="B142" s="4" t="s">
        <v>83</v>
      </c>
      <c r="C142" s="4" t="s">
        <v>584</v>
      </c>
      <c r="D142" s="4" t="s">
        <v>47</v>
      </c>
      <c r="E142" s="4">
        <v>22</v>
      </c>
      <c r="F142" s="4">
        <v>1.63</v>
      </c>
      <c r="G142" s="6">
        <f t="shared" si="4"/>
        <v>4</v>
      </c>
      <c r="H142" s="3" t="str">
        <f t="shared" si="5"/>
        <v>★★★★</v>
      </c>
    </row>
    <row r="143" spans="1:8" x14ac:dyDescent="0.25">
      <c r="A143" s="4" t="s">
        <v>34</v>
      </c>
      <c r="B143" s="4" t="s">
        <v>29</v>
      </c>
      <c r="C143" s="4" t="s">
        <v>116</v>
      </c>
      <c r="D143" s="4" t="s">
        <v>35</v>
      </c>
      <c r="E143" s="4">
        <v>30</v>
      </c>
      <c r="F143" s="4">
        <v>0.63</v>
      </c>
      <c r="G143" s="6">
        <f t="shared" si="4"/>
        <v>2</v>
      </c>
      <c r="H143" s="3" t="str">
        <f t="shared" si="5"/>
        <v>★★</v>
      </c>
    </row>
    <row r="144" spans="1:8" x14ac:dyDescent="0.25">
      <c r="A144" s="4" t="s">
        <v>488</v>
      </c>
      <c r="B144" s="4" t="s">
        <v>29</v>
      </c>
      <c r="C144" s="4" t="s">
        <v>116</v>
      </c>
      <c r="D144" s="4" t="s">
        <v>43</v>
      </c>
      <c r="E144" s="4">
        <v>22</v>
      </c>
      <c r="F144" s="4">
        <v>0.89</v>
      </c>
      <c r="G144" s="6">
        <f t="shared" si="4"/>
        <v>3</v>
      </c>
      <c r="H144" s="3" t="str">
        <f t="shared" si="5"/>
        <v>★★★</v>
      </c>
    </row>
    <row r="145" spans="1:8" x14ac:dyDescent="0.25">
      <c r="A145" s="4" t="s">
        <v>192</v>
      </c>
      <c r="B145" s="4" t="s">
        <v>52</v>
      </c>
      <c r="C145" s="4" t="s">
        <v>471</v>
      </c>
      <c r="D145" s="4" t="s">
        <v>65</v>
      </c>
      <c r="E145" s="4">
        <v>28</v>
      </c>
      <c r="F145" s="4">
        <v>1.83</v>
      </c>
      <c r="G145" s="6">
        <f t="shared" si="4"/>
        <v>5</v>
      </c>
      <c r="H145" s="3" t="str">
        <f t="shared" si="5"/>
        <v>★★★★★</v>
      </c>
    </row>
    <row r="146" spans="1:8" x14ac:dyDescent="0.25">
      <c r="A146" s="4" t="s">
        <v>193</v>
      </c>
      <c r="B146" s="4" t="s">
        <v>29</v>
      </c>
      <c r="C146" s="4" t="s">
        <v>109</v>
      </c>
      <c r="D146" s="4" t="s">
        <v>27</v>
      </c>
      <c r="E146" s="4">
        <v>23</v>
      </c>
      <c r="F146" s="4">
        <v>0.83</v>
      </c>
      <c r="G146" s="6">
        <f t="shared" si="4"/>
        <v>2</v>
      </c>
      <c r="H146" s="3" t="str">
        <f t="shared" si="5"/>
        <v>★★</v>
      </c>
    </row>
    <row r="147" spans="1:8" x14ac:dyDescent="0.25">
      <c r="A147" s="4" t="s">
        <v>602</v>
      </c>
      <c r="B147" s="4" t="s">
        <v>29</v>
      </c>
      <c r="C147" s="4" t="s">
        <v>116</v>
      </c>
      <c r="D147" s="4" t="s">
        <v>69</v>
      </c>
      <c r="E147" s="4">
        <v>23</v>
      </c>
      <c r="F147" s="4">
        <v>0</v>
      </c>
      <c r="G147" s="6">
        <f t="shared" si="4"/>
        <v>1</v>
      </c>
      <c r="H147" s="3" t="str">
        <f t="shared" si="5"/>
        <v>★</v>
      </c>
    </row>
    <row r="148" spans="1:8" x14ac:dyDescent="0.25">
      <c r="A148" s="4" t="s">
        <v>194</v>
      </c>
      <c r="B148" s="4" t="s">
        <v>29</v>
      </c>
      <c r="C148" s="4" t="s">
        <v>116</v>
      </c>
      <c r="D148" s="4" t="s">
        <v>18</v>
      </c>
      <c r="E148" s="4">
        <v>31</v>
      </c>
      <c r="F148" s="4">
        <v>1.56</v>
      </c>
      <c r="G148" s="6">
        <f t="shared" si="4"/>
        <v>4</v>
      </c>
      <c r="H148" s="3" t="str">
        <f t="shared" si="5"/>
        <v>★★★★</v>
      </c>
    </row>
    <row r="149" spans="1:8" x14ac:dyDescent="0.25">
      <c r="A149" s="4" t="s">
        <v>717</v>
      </c>
      <c r="B149" s="4" t="s">
        <v>29</v>
      </c>
      <c r="C149" s="4" t="s">
        <v>109</v>
      </c>
      <c r="D149" s="4" t="s">
        <v>35</v>
      </c>
      <c r="E149" s="4">
        <v>18</v>
      </c>
      <c r="F149" s="4">
        <v>0</v>
      </c>
      <c r="G149" s="6">
        <f t="shared" si="4"/>
        <v>1</v>
      </c>
      <c r="H149" s="3" t="str">
        <f t="shared" si="5"/>
        <v>★</v>
      </c>
    </row>
    <row r="150" spans="1:8" x14ac:dyDescent="0.25">
      <c r="A150" s="4" t="s">
        <v>195</v>
      </c>
      <c r="B150" s="4" t="s">
        <v>162</v>
      </c>
      <c r="C150" s="4" t="s">
        <v>471</v>
      </c>
      <c r="D150" s="4" t="s">
        <v>39</v>
      </c>
      <c r="E150" s="4">
        <v>30</v>
      </c>
      <c r="F150" s="4">
        <v>2.2999999999999998</v>
      </c>
      <c r="G150" s="6">
        <f t="shared" si="4"/>
        <v>5</v>
      </c>
      <c r="H150" s="3" t="str">
        <f t="shared" si="5"/>
        <v>★★★★★</v>
      </c>
    </row>
    <row r="151" spans="1:8" x14ac:dyDescent="0.25">
      <c r="A151" s="4" t="s">
        <v>603</v>
      </c>
      <c r="B151" s="4" t="s">
        <v>29</v>
      </c>
      <c r="C151" s="4" t="s">
        <v>676</v>
      </c>
      <c r="D151" s="4" t="s">
        <v>24</v>
      </c>
      <c r="E151" s="4">
        <v>33</v>
      </c>
      <c r="F151" s="4">
        <v>1.5</v>
      </c>
      <c r="G151" s="6">
        <f t="shared" si="4"/>
        <v>4</v>
      </c>
      <c r="H151" s="3" t="str">
        <f t="shared" si="5"/>
        <v>★★★★</v>
      </c>
    </row>
    <row r="152" spans="1:8" x14ac:dyDescent="0.25">
      <c r="A152" s="4" t="s">
        <v>604</v>
      </c>
      <c r="B152" s="4" t="s">
        <v>29</v>
      </c>
      <c r="C152" s="4" t="s">
        <v>116</v>
      </c>
      <c r="D152" s="4" t="s">
        <v>39</v>
      </c>
      <c r="E152" s="4">
        <v>18</v>
      </c>
      <c r="F152" s="4">
        <v>3</v>
      </c>
      <c r="G152" s="6">
        <f t="shared" si="4"/>
        <v>5</v>
      </c>
      <c r="H152" s="3" t="str">
        <f t="shared" si="5"/>
        <v>★★★★★</v>
      </c>
    </row>
    <row r="153" spans="1:8" x14ac:dyDescent="0.25">
      <c r="A153" s="4" t="s">
        <v>196</v>
      </c>
      <c r="B153" s="4" t="s">
        <v>29</v>
      </c>
      <c r="C153" s="4" t="s">
        <v>109</v>
      </c>
      <c r="D153" s="4" t="s">
        <v>27</v>
      </c>
      <c r="E153" s="4">
        <v>31</v>
      </c>
      <c r="F153" s="4">
        <v>1.18</v>
      </c>
      <c r="G153" s="6">
        <f t="shared" si="4"/>
        <v>3</v>
      </c>
      <c r="H153" s="3" t="str">
        <f t="shared" si="5"/>
        <v>★★★</v>
      </c>
    </row>
    <row r="154" spans="1:8" x14ac:dyDescent="0.25">
      <c r="A154" s="4" t="s">
        <v>197</v>
      </c>
      <c r="B154" s="4" t="s">
        <v>162</v>
      </c>
      <c r="C154" s="4" t="s">
        <v>116</v>
      </c>
      <c r="D154" s="4" t="s">
        <v>81</v>
      </c>
      <c r="E154" s="4">
        <v>26</v>
      </c>
      <c r="F154" s="4">
        <v>1.47</v>
      </c>
      <c r="G154" s="6">
        <f t="shared" si="4"/>
        <v>4</v>
      </c>
      <c r="H154" s="3" t="str">
        <f t="shared" si="5"/>
        <v>★★★★</v>
      </c>
    </row>
    <row r="155" spans="1:8" x14ac:dyDescent="0.25">
      <c r="A155" s="4" t="s">
        <v>489</v>
      </c>
      <c r="B155" s="4" t="s">
        <v>219</v>
      </c>
      <c r="C155" s="4" t="s">
        <v>109</v>
      </c>
      <c r="D155" s="4" t="s">
        <v>24</v>
      </c>
      <c r="E155" s="4">
        <v>23</v>
      </c>
      <c r="F155" s="4">
        <v>0.64</v>
      </c>
      <c r="G155" s="6">
        <f t="shared" si="4"/>
        <v>2</v>
      </c>
      <c r="H155" s="3" t="str">
        <f t="shared" si="5"/>
        <v>★★</v>
      </c>
    </row>
    <row r="156" spans="1:8" x14ac:dyDescent="0.25">
      <c r="A156" s="4" t="s">
        <v>718</v>
      </c>
      <c r="B156" s="4" t="s">
        <v>279</v>
      </c>
      <c r="C156" s="4" t="s">
        <v>116</v>
      </c>
      <c r="D156" s="4" t="s">
        <v>43</v>
      </c>
      <c r="E156" s="4">
        <v>21</v>
      </c>
      <c r="F156" s="4">
        <v>0</v>
      </c>
      <c r="G156" s="6">
        <f t="shared" si="4"/>
        <v>1</v>
      </c>
      <c r="H156" s="3" t="str">
        <f t="shared" si="5"/>
        <v>★</v>
      </c>
    </row>
    <row r="157" spans="1:8" x14ac:dyDescent="0.25">
      <c r="A157" s="4" t="s">
        <v>719</v>
      </c>
      <c r="B157" s="4" t="s">
        <v>29</v>
      </c>
      <c r="C157" s="4" t="s">
        <v>676</v>
      </c>
      <c r="D157" s="4" t="s">
        <v>65</v>
      </c>
      <c r="E157" s="4">
        <v>16</v>
      </c>
      <c r="F157" s="4">
        <v>0</v>
      </c>
      <c r="G157" s="6">
        <f t="shared" si="4"/>
        <v>1</v>
      </c>
      <c r="H157" s="3" t="str">
        <f t="shared" si="5"/>
        <v>★</v>
      </c>
    </row>
    <row r="158" spans="1:8" x14ac:dyDescent="0.25">
      <c r="A158" s="4" t="s">
        <v>198</v>
      </c>
      <c r="B158" s="4" t="s">
        <v>29</v>
      </c>
      <c r="C158" s="4" t="s">
        <v>109</v>
      </c>
      <c r="D158" s="4" t="s">
        <v>87</v>
      </c>
      <c r="E158" s="4">
        <v>22</v>
      </c>
      <c r="F158" s="4">
        <v>1.46</v>
      </c>
      <c r="G158" s="6">
        <f t="shared" si="4"/>
        <v>4</v>
      </c>
      <c r="H158" s="3" t="str">
        <f t="shared" si="5"/>
        <v>★★★★</v>
      </c>
    </row>
    <row r="159" spans="1:8" x14ac:dyDescent="0.25">
      <c r="A159" s="4" t="s">
        <v>720</v>
      </c>
      <c r="B159" s="4" t="s">
        <v>133</v>
      </c>
      <c r="C159" s="4" t="s">
        <v>228</v>
      </c>
      <c r="D159" s="4" t="s">
        <v>47</v>
      </c>
      <c r="E159" s="4">
        <v>19</v>
      </c>
      <c r="F159" s="4">
        <v>0</v>
      </c>
      <c r="G159" s="6">
        <f t="shared" si="4"/>
        <v>1</v>
      </c>
      <c r="H159" s="3" t="str">
        <f t="shared" si="5"/>
        <v>★</v>
      </c>
    </row>
    <row r="160" spans="1:8" x14ac:dyDescent="0.25">
      <c r="A160" s="4" t="s">
        <v>199</v>
      </c>
      <c r="B160" s="4" t="s">
        <v>17</v>
      </c>
      <c r="C160" s="4" t="s">
        <v>584</v>
      </c>
      <c r="D160" s="4" t="s">
        <v>33</v>
      </c>
      <c r="E160" s="4">
        <v>22</v>
      </c>
      <c r="F160" s="4">
        <v>1.1299999999999999</v>
      </c>
      <c r="G160" s="6">
        <f t="shared" si="4"/>
        <v>3</v>
      </c>
      <c r="H160" s="3" t="str">
        <f t="shared" si="5"/>
        <v>★★★</v>
      </c>
    </row>
    <row r="161" spans="1:8" x14ac:dyDescent="0.25">
      <c r="A161" s="4" t="s">
        <v>200</v>
      </c>
      <c r="B161" s="4" t="s">
        <v>83</v>
      </c>
      <c r="C161" s="4" t="s">
        <v>109</v>
      </c>
      <c r="D161" s="4" t="s">
        <v>39</v>
      </c>
      <c r="E161" s="4">
        <v>24</v>
      </c>
      <c r="F161" s="4">
        <v>2.48</v>
      </c>
      <c r="G161" s="6">
        <f t="shared" si="4"/>
        <v>5</v>
      </c>
      <c r="H161" s="3" t="str">
        <f t="shared" si="5"/>
        <v>★★★★★</v>
      </c>
    </row>
    <row r="162" spans="1:8" x14ac:dyDescent="0.25">
      <c r="A162" s="4" t="s">
        <v>605</v>
      </c>
      <c r="B162" s="4" t="s">
        <v>122</v>
      </c>
      <c r="C162" s="4" t="s">
        <v>584</v>
      </c>
      <c r="D162" s="4" t="s">
        <v>15</v>
      </c>
      <c r="E162" s="4">
        <v>24</v>
      </c>
      <c r="F162" s="4">
        <v>2.69</v>
      </c>
      <c r="G162" s="6">
        <f t="shared" si="4"/>
        <v>5</v>
      </c>
      <c r="H162" s="3" t="str">
        <f t="shared" si="5"/>
        <v>★★★★★</v>
      </c>
    </row>
    <row r="163" spans="1:8" x14ac:dyDescent="0.25">
      <c r="A163" s="4" t="s">
        <v>721</v>
      </c>
      <c r="C163" s="4" t="s">
        <v>584</v>
      </c>
      <c r="D163" s="4" t="s">
        <v>33</v>
      </c>
      <c r="E163" s="4" t="s">
        <v>96</v>
      </c>
      <c r="F163" s="4">
        <v>0</v>
      </c>
      <c r="G163" s="6">
        <f t="shared" si="4"/>
        <v>1</v>
      </c>
      <c r="H163" s="3" t="str">
        <f t="shared" si="5"/>
        <v>★</v>
      </c>
    </row>
    <row r="164" spans="1:8" x14ac:dyDescent="0.25">
      <c r="A164" s="4" t="s">
        <v>722</v>
      </c>
      <c r="B164" s="4" t="s">
        <v>127</v>
      </c>
      <c r="C164" s="4" t="s">
        <v>109</v>
      </c>
      <c r="D164" s="4" t="s">
        <v>50</v>
      </c>
      <c r="E164" s="4">
        <v>18</v>
      </c>
      <c r="F164" s="4">
        <v>0</v>
      </c>
      <c r="G164" s="6">
        <f t="shared" si="4"/>
        <v>1</v>
      </c>
      <c r="H164" s="3" t="str">
        <f t="shared" si="5"/>
        <v>★</v>
      </c>
    </row>
    <row r="165" spans="1:8" x14ac:dyDescent="0.25">
      <c r="A165" s="4" t="s">
        <v>201</v>
      </c>
      <c r="B165" s="4" t="s">
        <v>29</v>
      </c>
      <c r="C165" s="4" t="s">
        <v>476</v>
      </c>
      <c r="D165" s="4" t="s">
        <v>65</v>
      </c>
      <c r="E165" s="4">
        <v>27</v>
      </c>
      <c r="F165" s="4">
        <v>1.94</v>
      </c>
      <c r="G165" s="6">
        <f t="shared" si="4"/>
        <v>5</v>
      </c>
      <c r="H165" s="3" t="str">
        <f t="shared" si="5"/>
        <v>★★★★★</v>
      </c>
    </row>
    <row r="166" spans="1:8" x14ac:dyDescent="0.25">
      <c r="A166" s="4" t="s">
        <v>202</v>
      </c>
      <c r="B166" s="4" t="s">
        <v>17</v>
      </c>
      <c r="C166" s="4" t="s">
        <v>116</v>
      </c>
      <c r="D166" s="4" t="s">
        <v>69</v>
      </c>
      <c r="E166" s="4">
        <v>28</v>
      </c>
      <c r="F166" s="4">
        <v>1.19</v>
      </c>
      <c r="G166" s="6">
        <f t="shared" si="4"/>
        <v>3</v>
      </c>
      <c r="H166" s="3" t="str">
        <f t="shared" si="5"/>
        <v>★★★</v>
      </c>
    </row>
    <row r="167" spans="1:8" x14ac:dyDescent="0.25">
      <c r="A167" s="4" t="s">
        <v>202</v>
      </c>
      <c r="B167" s="4" t="s">
        <v>17</v>
      </c>
      <c r="C167" s="4" t="s">
        <v>476</v>
      </c>
      <c r="D167" s="4" t="s">
        <v>27</v>
      </c>
      <c r="E167" s="4">
        <v>28</v>
      </c>
      <c r="F167" s="4">
        <v>1.1499999999999999</v>
      </c>
      <c r="G167" s="6">
        <f t="shared" si="4"/>
        <v>3</v>
      </c>
      <c r="H167" s="3" t="str">
        <f t="shared" si="5"/>
        <v>★★★</v>
      </c>
    </row>
    <row r="168" spans="1:8" x14ac:dyDescent="0.25">
      <c r="A168" s="4" t="s">
        <v>203</v>
      </c>
      <c r="B168" s="4" t="s">
        <v>17</v>
      </c>
      <c r="C168" s="4" t="s">
        <v>676</v>
      </c>
      <c r="D168" s="4" t="s">
        <v>18</v>
      </c>
      <c r="E168" s="4">
        <v>24</v>
      </c>
      <c r="F168" s="4">
        <v>1.62</v>
      </c>
      <c r="G168" s="6">
        <f t="shared" si="4"/>
        <v>4</v>
      </c>
      <c r="H168" s="3" t="str">
        <f t="shared" si="5"/>
        <v>★★★★</v>
      </c>
    </row>
    <row r="169" spans="1:8" x14ac:dyDescent="0.25">
      <c r="A169" s="4" t="s">
        <v>204</v>
      </c>
      <c r="B169" s="4" t="s">
        <v>148</v>
      </c>
      <c r="C169" s="4" t="s">
        <v>676</v>
      </c>
      <c r="D169" s="4" t="s">
        <v>33</v>
      </c>
      <c r="E169" s="4">
        <v>23</v>
      </c>
      <c r="F169" s="4">
        <v>1.08</v>
      </c>
      <c r="G169" s="6">
        <f t="shared" si="4"/>
        <v>3</v>
      </c>
      <c r="H169" s="3" t="str">
        <f t="shared" si="5"/>
        <v>★★★</v>
      </c>
    </row>
    <row r="170" spans="1:8" x14ac:dyDescent="0.25">
      <c r="A170" s="4" t="s">
        <v>490</v>
      </c>
      <c r="B170" s="4" t="s">
        <v>29</v>
      </c>
      <c r="C170" s="4" t="s">
        <v>109</v>
      </c>
      <c r="D170" s="4" t="s">
        <v>27</v>
      </c>
      <c r="E170" s="4">
        <v>18</v>
      </c>
      <c r="F170" s="4">
        <v>1.67</v>
      </c>
      <c r="G170" s="6">
        <f t="shared" si="4"/>
        <v>4</v>
      </c>
      <c r="H170" s="3" t="str">
        <f t="shared" si="5"/>
        <v>★★★★</v>
      </c>
    </row>
    <row r="171" spans="1:8" x14ac:dyDescent="0.25">
      <c r="A171" s="4" t="s">
        <v>723</v>
      </c>
      <c r="B171" s="4" t="s">
        <v>29</v>
      </c>
      <c r="C171" s="4" t="s">
        <v>476</v>
      </c>
      <c r="D171" s="4" t="s">
        <v>53</v>
      </c>
      <c r="E171" s="4">
        <v>18</v>
      </c>
      <c r="F171" s="4">
        <v>0</v>
      </c>
      <c r="G171" s="6">
        <f t="shared" si="4"/>
        <v>1</v>
      </c>
      <c r="H171" s="3" t="str">
        <f t="shared" si="5"/>
        <v>★</v>
      </c>
    </row>
    <row r="172" spans="1:8" x14ac:dyDescent="0.25">
      <c r="A172" s="4" t="s">
        <v>205</v>
      </c>
      <c r="B172" s="4" t="s">
        <v>55</v>
      </c>
      <c r="C172" s="4" t="s">
        <v>116</v>
      </c>
      <c r="D172" s="4" t="s">
        <v>65</v>
      </c>
      <c r="E172" s="4">
        <v>29</v>
      </c>
      <c r="F172" s="4">
        <v>2.13</v>
      </c>
      <c r="G172" s="6">
        <f t="shared" si="4"/>
        <v>5</v>
      </c>
      <c r="H172" s="3" t="str">
        <f t="shared" si="5"/>
        <v>★★★★★</v>
      </c>
    </row>
    <row r="173" spans="1:8" x14ac:dyDescent="0.25">
      <c r="A173" s="4" t="s">
        <v>206</v>
      </c>
      <c r="B173" s="4" t="s">
        <v>14</v>
      </c>
      <c r="C173" s="4" t="s">
        <v>109</v>
      </c>
      <c r="D173" s="4" t="s">
        <v>63</v>
      </c>
      <c r="E173" s="4">
        <v>23</v>
      </c>
      <c r="F173" s="4">
        <v>1.97</v>
      </c>
      <c r="G173" s="6">
        <f t="shared" si="4"/>
        <v>5</v>
      </c>
      <c r="H173" s="3" t="str">
        <f t="shared" si="5"/>
        <v>★★★★★</v>
      </c>
    </row>
    <row r="174" spans="1:8" x14ac:dyDescent="0.25">
      <c r="A174" s="4" t="s">
        <v>207</v>
      </c>
      <c r="B174" s="4" t="s">
        <v>148</v>
      </c>
      <c r="C174" s="4" t="s">
        <v>109</v>
      </c>
      <c r="D174" s="4" t="s">
        <v>27</v>
      </c>
      <c r="E174" s="4">
        <v>28</v>
      </c>
      <c r="F174" s="4">
        <v>1.1299999999999999</v>
      </c>
      <c r="G174" s="6">
        <f t="shared" si="4"/>
        <v>3</v>
      </c>
      <c r="H174" s="3" t="str">
        <f t="shared" si="5"/>
        <v>★★★</v>
      </c>
    </row>
    <row r="175" spans="1:8" x14ac:dyDescent="0.25">
      <c r="A175" s="4" t="s">
        <v>491</v>
      </c>
      <c r="B175" s="4" t="s">
        <v>29</v>
      </c>
      <c r="C175" s="4" t="s">
        <v>116</v>
      </c>
      <c r="D175" s="4" t="s">
        <v>50</v>
      </c>
      <c r="E175" s="4">
        <v>23</v>
      </c>
      <c r="F175" s="4">
        <v>0.47</v>
      </c>
      <c r="G175" s="6">
        <f t="shared" si="4"/>
        <v>2</v>
      </c>
      <c r="H175" s="3" t="str">
        <f t="shared" si="5"/>
        <v>★★</v>
      </c>
    </row>
    <row r="176" spans="1:8" x14ac:dyDescent="0.25">
      <c r="A176" s="4" t="s">
        <v>724</v>
      </c>
      <c r="B176" s="4" t="s">
        <v>29</v>
      </c>
      <c r="C176" s="4" t="s">
        <v>584</v>
      </c>
      <c r="D176" s="4" t="s">
        <v>39</v>
      </c>
      <c r="E176" s="4">
        <v>19</v>
      </c>
      <c r="F176" s="4">
        <v>0</v>
      </c>
      <c r="G176" s="6">
        <f t="shared" si="4"/>
        <v>1</v>
      </c>
      <c r="H176" s="3" t="str">
        <f t="shared" si="5"/>
        <v>★</v>
      </c>
    </row>
    <row r="177" spans="1:8" x14ac:dyDescent="0.25">
      <c r="A177" s="4" t="s">
        <v>208</v>
      </c>
      <c r="B177" s="4" t="s">
        <v>29</v>
      </c>
      <c r="C177" s="4" t="s">
        <v>584</v>
      </c>
      <c r="D177" s="4" t="s">
        <v>58</v>
      </c>
      <c r="E177" s="4">
        <v>19</v>
      </c>
      <c r="F177" s="4">
        <v>1</v>
      </c>
      <c r="G177" s="6">
        <f t="shared" si="4"/>
        <v>3</v>
      </c>
      <c r="H177" s="3" t="str">
        <f t="shared" si="5"/>
        <v>★★★</v>
      </c>
    </row>
    <row r="178" spans="1:8" x14ac:dyDescent="0.25">
      <c r="A178" s="4" t="s">
        <v>36</v>
      </c>
      <c r="B178" s="4" t="s">
        <v>37</v>
      </c>
      <c r="C178" s="4" t="s">
        <v>116</v>
      </c>
      <c r="D178" s="4" t="s">
        <v>35</v>
      </c>
      <c r="E178" s="4">
        <v>32</v>
      </c>
      <c r="F178" s="4">
        <v>1.65</v>
      </c>
      <c r="G178" s="6">
        <f t="shared" si="4"/>
        <v>4</v>
      </c>
      <c r="H178" s="3" t="str">
        <f t="shared" si="5"/>
        <v>★★★★</v>
      </c>
    </row>
    <row r="179" spans="1:8" x14ac:dyDescent="0.25">
      <c r="A179" s="4" t="s">
        <v>209</v>
      </c>
      <c r="B179" s="4" t="s">
        <v>55</v>
      </c>
      <c r="C179" s="4" t="s">
        <v>676</v>
      </c>
      <c r="D179" s="4" t="s">
        <v>85</v>
      </c>
      <c r="E179" s="4">
        <v>29</v>
      </c>
      <c r="F179" s="4">
        <v>1.39</v>
      </c>
      <c r="G179" s="6">
        <f t="shared" si="4"/>
        <v>4</v>
      </c>
      <c r="H179" s="3" t="str">
        <f t="shared" si="5"/>
        <v>★★★★</v>
      </c>
    </row>
    <row r="180" spans="1:8" x14ac:dyDescent="0.25">
      <c r="A180" s="4" t="s">
        <v>210</v>
      </c>
      <c r="B180" s="4" t="s">
        <v>52</v>
      </c>
      <c r="C180" s="4" t="s">
        <v>476</v>
      </c>
      <c r="D180" s="4" t="s">
        <v>35</v>
      </c>
      <c r="E180" s="4">
        <v>29</v>
      </c>
      <c r="F180" s="4">
        <v>2.33</v>
      </c>
      <c r="G180" s="6">
        <f t="shared" si="4"/>
        <v>5</v>
      </c>
      <c r="H180" s="3" t="str">
        <f t="shared" si="5"/>
        <v>★★★★★</v>
      </c>
    </row>
    <row r="181" spans="1:8" x14ac:dyDescent="0.25">
      <c r="A181" s="4" t="s">
        <v>211</v>
      </c>
      <c r="B181" s="4" t="s">
        <v>29</v>
      </c>
      <c r="C181" s="4" t="s">
        <v>476</v>
      </c>
      <c r="D181" s="4" t="s">
        <v>85</v>
      </c>
      <c r="E181" s="4">
        <v>29</v>
      </c>
      <c r="F181" s="4">
        <v>1.38</v>
      </c>
      <c r="G181" s="6">
        <f t="shared" si="4"/>
        <v>4</v>
      </c>
      <c r="H181" s="3" t="str">
        <f t="shared" si="5"/>
        <v>★★★★</v>
      </c>
    </row>
    <row r="182" spans="1:8" x14ac:dyDescent="0.25">
      <c r="A182" s="4" t="s">
        <v>38</v>
      </c>
      <c r="B182" s="4" t="s">
        <v>14</v>
      </c>
      <c r="C182" s="4" t="s">
        <v>584</v>
      </c>
      <c r="D182" s="4" t="s">
        <v>39</v>
      </c>
      <c r="E182" s="4">
        <v>27</v>
      </c>
      <c r="F182" s="4">
        <v>2.4300000000000002</v>
      </c>
      <c r="G182" s="6">
        <f t="shared" si="4"/>
        <v>5</v>
      </c>
      <c r="H182" s="3" t="str">
        <f t="shared" si="5"/>
        <v>★★★★★</v>
      </c>
    </row>
    <row r="183" spans="1:8" x14ac:dyDescent="0.25">
      <c r="A183" s="4" t="s">
        <v>606</v>
      </c>
      <c r="B183" s="4" t="s">
        <v>17</v>
      </c>
      <c r="C183" s="4" t="s">
        <v>171</v>
      </c>
      <c r="D183" s="4" t="s">
        <v>30</v>
      </c>
      <c r="E183" s="4">
        <v>23</v>
      </c>
      <c r="F183" s="4">
        <v>1.36</v>
      </c>
      <c r="G183" s="6">
        <f t="shared" si="4"/>
        <v>4</v>
      </c>
      <c r="H183" s="3" t="str">
        <f t="shared" si="5"/>
        <v>★★★★</v>
      </c>
    </row>
    <row r="184" spans="1:8" x14ac:dyDescent="0.25">
      <c r="A184" s="4" t="s">
        <v>725</v>
      </c>
      <c r="B184" s="4" t="s">
        <v>29</v>
      </c>
      <c r="C184" s="4" t="s">
        <v>109</v>
      </c>
      <c r="D184" s="4" t="s">
        <v>39</v>
      </c>
      <c r="E184" s="4">
        <v>18</v>
      </c>
      <c r="F184" s="4">
        <v>0</v>
      </c>
      <c r="G184" s="6">
        <f t="shared" si="4"/>
        <v>1</v>
      </c>
      <c r="H184" s="3" t="str">
        <f t="shared" si="5"/>
        <v>★</v>
      </c>
    </row>
    <row r="185" spans="1:8" x14ac:dyDescent="0.25">
      <c r="A185" s="4" t="s">
        <v>212</v>
      </c>
      <c r="B185" s="4" t="s">
        <v>29</v>
      </c>
      <c r="C185" s="4" t="s">
        <v>476</v>
      </c>
      <c r="D185" s="4" t="s">
        <v>39</v>
      </c>
      <c r="E185" s="4">
        <v>18</v>
      </c>
      <c r="F185" s="4">
        <v>3</v>
      </c>
      <c r="G185" s="6">
        <f t="shared" si="4"/>
        <v>5</v>
      </c>
      <c r="H185" s="3" t="str">
        <f t="shared" si="5"/>
        <v>★★★★★</v>
      </c>
    </row>
    <row r="186" spans="1:8" x14ac:dyDescent="0.25">
      <c r="A186" s="4" t="s">
        <v>726</v>
      </c>
      <c r="B186" s="4" t="s">
        <v>17</v>
      </c>
      <c r="C186" s="4" t="s">
        <v>109</v>
      </c>
      <c r="D186" s="4" t="s">
        <v>18</v>
      </c>
      <c r="E186" s="4">
        <v>19</v>
      </c>
      <c r="F186" s="4">
        <v>0</v>
      </c>
      <c r="G186" s="6">
        <f t="shared" si="4"/>
        <v>1</v>
      </c>
      <c r="H186" s="3" t="str">
        <f t="shared" si="5"/>
        <v>★</v>
      </c>
    </row>
    <row r="187" spans="1:8" x14ac:dyDescent="0.25">
      <c r="A187" s="4" t="s">
        <v>607</v>
      </c>
      <c r="B187" s="4" t="s">
        <v>75</v>
      </c>
      <c r="C187" s="4" t="s">
        <v>116</v>
      </c>
      <c r="D187" s="4" t="s">
        <v>47</v>
      </c>
      <c r="E187" s="4">
        <v>19</v>
      </c>
      <c r="F187" s="4">
        <v>1.43</v>
      </c>
      <c r="G187" s="6">
        <f t="shared" si="4"/>
        <v>4</v>
      </c>
      <c r="H187" s="3" t="str">
        <f t="shared" si="5"/>
        <v>★★★★</v>
      </c>
    </row>
    <row r="188" spans="1:8" x14ac:dyDescent="0.25">
      <c r="A188" s="4" t="s">
        <v>727</v>
      </c>
      <c r="B188" s="4" t="s">
        <v>55</v>
      </c>
      <c r="C188" s="4" t="s">
        <v>109</v>
      </c>
      <c r="D188" s="4" t="s">
        <v>24</v>
      </c>
      <c r="E188" s="4">
        <v>35</v>
      </c>
      <c r="F188" s="4">
        <v>0</v>
      </c>
      <c r="G188" s="6">
        <f t="shared" si="4"/>
        <v>1</v>
      </c>
      <c r="H188" s="3" t="str">
        <f t="shared" si="5"/>
        <v>★</v>
      </c>
    </row>
    <row r="189" spans="1:8" x14ac:dyDescent="0.25">
      <c r="A189" s="4" t="s">
        <v>213</v>
      </c>
      <c r="B189" s="4" t="s">
        <v>29</v>
      </c>
      <c r="C189" s="4" t="s">
        <v>116</v>
      </c>
      <c r="D189" s="4" t="s">
        <v>15</v>
      </c>
      <c r="E189" s="4">
        <v>18</v>
      </c>
      <c r="F189" s="4">
        <v>2.67</v>
      </c>
      <c r="G189" s="6">
        <f t="shared" si="4"/>
        <v>5</v>
      </c>
      <c r="H189" s="3" t="str">
        <f t="shared" si="5"/>
        <v>★★★★★</v>
      </c>
    </row>
    <row r="190" spans="1:8" x14ac:dyDescent="0.25">
      <c r="A190" s="4" t="s">
        <v>214</v>
      </c>
      <c r="B190" s="4" t="s">
        <v>215</v>
      </c>
      <c r="C190" s="4" t="s">
        <v>109</v>
      </c>
      <c r="D190" s="4" t="s">
        <v>63</v>
      </c>
      <c r="E190" s="4">
        <v>29</v>
      </c>
      <c r="F190" s="4">
        <v>1.71</v>
      </c>
      <c r="G190" s="6">
        <f t="shared" si="4"/>
        <v>4</v>
      </c>
      <c r="H190" s="3" t="str">
        <f t="shared" si="5"/>
        <v>★★★★</v>
      </c>
    </row>
    <row r="191" spans="1:8" x14ac:dyDescent="0.25">
      <c r="A191" s="4" t="s">
        <v>492</v>
      </c>
      <c r="B191" s="4" t="s">
        <v>57</v>
      </c>
      <c r="C191" s="4" t="s">
        <v>109</v>
      </c>
      <c r="D191" s="4" t="s">
        <v>33</v>
      </c>
      <c r="E191" s="4">
        <v>26</v>
      </c>
      <c r="F191" s="4">
        <v>1.1000000000000001</v>
      </c>
      <c r="G191" s="6">
        <f t="shared" si="4"/>
        <v>3</v>
      </c>
      <c r="H191" s="3" t="str">
        <f t="shared" si="5"/>
        <v>★★★</v>
      </c>
    </row>
    <row r="192" spans="1:8" x14ac:dyDescent="0.25">
      <c r="A192" s="4" t="s">
        <v>216</v>
      </c>
      <c r="B192" s="4" t="s">
        <v>14</v>
      </c>
      <c r="C192" s="4" t="s">
        <v>109</v>
      </c>
      <c r="D192" s="4" t="s">
        <v>65</v>
      </c>
      <c r="E192" s="4">
        <v>22</v>
      </c>
      <c r="F192" s="4">
        <v>1.81</v>
      </c>
      <c r="G192" s="6">
        <f t="shared" si="4"/>
        <v>5</v>
      </c>
      <c r="H192" s="3" t="str">
        <f t="shared" si="5"/>
        <v>★★★★★</v>
      </c>
    </row>
    <row r="193" spans="1:8" x14ac:dyDescent="0.25">
      <c r="A193" s="4" t="s">
        <v>217</v>
      </c>
      <c r="B193" s="4" t="s">
        <v>67</v>
      </c>
      <c r="C193" s="4" t="s">
        <v>471</v>
      </c>
      <c r="D193" s="4" t="s">
        <v>43</v>
      </c>
      <c r="E193" s="4">
        <v>29</v>
      </c>
      <c r="F193" s="4">
        <v>2</v>
      </c>
      <c r="G193" s="6">
        <f t="shared" si="4"/>
        <v>5</v>
      </c>
      <c r="H193" s="3" t="str">
        <f t="shared" si="5"/>
        <v>★★★★★</v>
      </c>
    </row>
    <row r="194" spans="1:8" x14ac:dyDescent="0.25">
      <c r="A194" s="4" t="s">
        <v>218</v>
      </c>
      <c r="B194" s="4" t="s">
        <v>219</v>
      </c>
      <c r="C194" s="4" t="s">
        <v>584</v>
      </c>
      <c r="D194" s="4" t="s">
        <v>24</v>
      </c>
      <c r="E194" s="4">
        <v>25</v>
      </c>
      <c r="F194" s="4">
        <v>0.89</v>
      </c>
      <c r="G194" s="6">
        <f t="shared" si="4"/>
        <v>3</v>
      </c>
      <c r="H194" s="3" t="str">
        <f t="shared" si="5"/>
        <v>★★★</v>
      </c>
    </row>
    <row r="195" spans="1:8" x14ac:dyDescent="0.25">
      <c r="A195" s="4" t="s">
        <v>220</v>
      </c>
      <c r="B195" s="4" t="s">
        <v>165</v>
      </c>
      <c r="C195" s="4" t="s">
        <v>116</v>
      </c>
      <c r="D195" s="4" t="s">
        <v>87</v>
      </c>
      <c r="E195" s="4">
        <v>33</v>
      </c>
      <c r="F195" s="4">
        <v>1.61</v>
      </c>
      <c r="G195" s="6">
        <f t="shared" ref="G195:G258" si="6">VLOOKUP(F195,$K$10:$M$15,3,1)</f>
        <v>4</v>
      </c>
      <c r="H195" s="3" t="str">
        <f t="shared" ref="H195:H258" si="7">_xlfn.IFS(G195=0,"☆",G195=0.5,"½", G195=1,"★",G195 =1.5,"★½", G195 =2.5,"★★½", G195=2,"★★", G195=3,"★★★", G195 =3.5,"★★★½",G195=4,"★★★★", G195 =4.5,"★★★★½", G195=5,"★★★★★")</f>
        <v>★★★★</v>
      </c>
    </row>
    <row r="196" spans="1:8" x14ac:dyDescent="0.25">
      <c r="A196" s="4" t="s">
        <v>493</v>
      </c>
      <c r="B196" s="4" t="s">
        <v>29</v>
      </c>
      <c r="C196" s="4" t="s">
        <v>471</v>
      </c>
      <c r="D196" s="4" t="s">
        <v>30</v>
      </c>
      <c r="E196" s="4">
        <v>23</v>
      </c>
      <c r="F196" s="4">
        <v>1</v>
      </c>
      <c r="G196" s="6">
        <f t="shared" si="6"/>
        <v>3</v>
      </c>
      <c r="H196" s="3" t="str">
        <f t="shared" si="7"/>
        <v>★★★</v>
      </c>
    </row>
    <row r="197" spans="1:8" x14ac:dyDescent="0.25">
      <c r="A197" s="4" t="s">
        <v>40</v>
      </c>
      <c r="B197" s="4" t="s">
        <v>41</v>
      </c>
      <c r="C197" s="4" t="s">
        <v>584</v>
      </c>
      <c r="D197" s="4" t="s">
        <v>18</v>
      </c>
      <c r="E197" s="4">
        <v>36</v>
      </c>
      <c r="F197" s="4">
        <v>1.51</v>
      </c>
      <c r="G197" s="6">
        <f t="shared" si="6"/>
        <v>4</v>
      </c>
      <c r="H197" s="3" t="str">
        <f t="shared" si="7"/>
        <v>★★★★</v>
      </c>
    </row>
    <row r="198" spans="1:8" x14ac:dyDescent="0.25">
      <c r="A198" s="4" t="s">
        <v>221</v>
      </c>
      <c r="B198" s="4" t="s">
        <v>14</v>
      </c>
      <c r="C198" s="4" t="s">
        <v>476</v>
      </c>
      <c r="D198" s="4" t="s">
        <v>15</v>
      </c>
      <c r="E198" s="4">
        <v>27</v>
      </c>
      <c r="F198" s="4">
        <v>2.38</v>
      </c>
      <c r="G198" s="6">
        <f t="shared" si="6"/>
        <v>5</v>
      </c>
      <c r="H198" s="3" t="str">
        <f t="shared" si="7"/>
        <v>★★★★★</v>
      </c>
    </row>
    <row r="199" spans="1:8" x14ac:dyDescent="0.25">
      <c r="A199" s="4" t="s">
        <v>728</v>
      </c>
      <c r="B199" s="4" t="s">
        <v>29</v>
      </c>
      <c r="C199" s="4" t="s">
        <v>471</v>
      </c>
      <c r="D199" s="4" t="s">
        <v>69</v>
      </c>
      <c r="E199" s="4">
        <v>16</v>
      </c>
      <c r="F199" s="4">
        <v>0</v>
      </c>
      <c r="G199" s="6">
        <f t="shared" si="6"/>
        <v>1</v>
      </c>
      <c r="H199" s="3" t="str">
        <f t="shared" si="7"/>
        <v>★</v>
      </c>
    </row>
    <row r="200" spans="1:8" x14ac:dyDescent="0.25">
      <c r="A200" s="4" t="s">
        <v>222</v>
      </c>
      <c r="B200" s="4" t="s">
        <v>20</v>
      </c>
      <c r="C200" s="4" t="s">
        <v>228</v>
      </c>
      <c r="D200" s="4" t="s">
        <v>24</v>
      </c>
      <c r="E200" s="4">
        <v>30</v>
      </c>
      <c r="F200" s="4">
        <v>0.56000000000000005</v>
      </c>
      <c r="G200" s="6">
        <f t="shared" si="6"/>
        <v>2</v>
      </c>
      <c r="H200" s="3" t="str">
        <f t="shared" si="7"/>
        <v>★★</v>
      </c>
    </row>
    <row r="201" spans="1:8" x14ac:dyDescent="0.25">
      <c r="A201" s="4" t="s">
        <v>223</v>
      </c>
      <c r="B201" s="4" t="s">
        <v>55</v>
      </c>
      <c r="C201" s="4" t="s">
        <v>676</v>
      </c>
      <c r="D201" s="4" t="s">
        <v>85</v>
      </c>
      <c r="E201" s="4">
        <v>16</v>
      </c>
      <c r="F201" s="4">
        <v>0</v>
      </c>
      <c r="G201" s="6">
        <f t="shared" si="6"/>
        <v>1</v>
      </c>
      <c r="H201" s="3" t="str">
        <f t="shared" si="7"/>
        <v>★</v>
      </c>
    </row>
    <row r="202" spans="1:8" x14ac:dyDescent="0.25">
      <c r="A202" s="4" t="s">
        <v>224</v>
      </c>
      <c r="B202" s="4" t="s">
        <v>29</v>
      </c>
      <c r="C202" s="4" t="s">
        <v>109</v>
      </c>
      <c r="D202" s="4" t="s">
        <v>30</v>
      </c>
      <c r="E202" s="4">
        <v>20</v>
      </c>
      <c r="F202" s="4">
        <v>0</v>
      </c>
      <c r="G202" s="6">
        <f t="shared" si="6"/>
        <v>1</v>
      </c>
      <c r="H202" s="3" t="str">
        <f t="shared" si="7"/>
        <v>★</v>
      </c>
    </row>
    <row r="203" spans="1:8" x14ac:dyDescent="0.25">
      <c r="A203" s="4" t="s">
        <v>225</v>
      </c>
      <c r="B203" s="4" t="s">
        <v>83</v>
      </c>
      <c r="C203" s="4" t="s">
        <v>116</v>
      </c>
      <c r="D203" s="4" t="s">
        <v>47</v>
      </c>
      <c r="E203" s="4">
        <v>26</v>
      </c>
      <c r="F203" s="4">
        <v>1.44</v>
      </c>
      <c r="G203" s="6">
        <f t="shared" si="6"/>
        <v>4</v>
      </c>
      <c r="H203" s="3" t="str">
        <f t="shared" si="7"/>
        <v>★★★★</v>
      </c>
    </row>
    <row r="204" spans="1:8" x14ac:dyDescent="0.25">
      <c r="A204" s="4" t="s">
        <v>42</v>
      </c>
      <c r="B204" s="4" t="s">
        <v>20</v>
      </c>
      <c r="C204" s="4" t="s">
        <v>116</v>
      </c>
      <c r="D204" s="4" t="s">
        <v>43</v>
      </c>
      <c r="E204" s="4">
        <v>23</v>
      </c>
      <c r="F204" s="4">
        <v>0.92</v>
      </c>
      <c r="G204" s="6">
        <f t="shared" si="6"/>
        <v>3</v>
      </c>
      <c r="H204" s="3" t="str">
        <f t="shared" si="7"/>
        <v>★★★</v>
      </c>
    </row>
    <row r="205" spans="1:8" x14ac:dyDescent="0.25">
      <c r="A205" s="4" t="s">
        <v>42</v>
      </c>
      <c r="B205" s="4" t="s">
        <v>20</v>
      </c>
      <c r="C205" s="4" t="s">
        <v>676</v>
      </c>
      <c r="D205" s="4" t="s">
        <v>47</v>
      </c>
      <c r="E205" s="4">
        <v>18</v>
      </c>
      <c r="F205" s="4">
        <v>0</v>
      </c>
      <c r="G205" s="6">
        <f t="shared" si="6"/>
        <v>1</v>
      </c>
      <c r="H205" s="3" t="str">
        <f t="shared" si="7"/>
        <v>★</v>
      </c>
    </row>
    <row r="206" spans="1:8" x14ac:dyDescent="0.25">
      <c r="A206" s="4" t="s">
        <v>226</v>
      </c>
      <c r="B206" s="4" t="s">
        <v>32</v>
      </c>
      <c r="C206" s="4" t="s">
        <v>109</v>
      </c>
      <c r="D206" s="4" t="s">
        <v>35</v>
      </c>
      <c r="E206" s="4">
        <v>32</v>
      </c>
      <c r="F206" s="4">
        <v>0.86</v>
      </c>
      <c r="G206" s="6">
        <f t="shared" si="6"/>
        <v>3</v>
      </c>
      <c r="H206" s="3" t="str">
        <f t="shared" si="7"/>
        <v>★★★</v>
      </c>
    </row>
    <row r="207" spans="1:8" x14ac:dyDescent="0.25">
      <c r="A207" s="4" t="s">
        <v>227</v>
      </c>
      <c r="B207" s="4" t="s">
        <v>14</v>
      </c>
      <c r="C207" s="4" t="s">
        <v>476</v>
      </c>
      <c r="D207" s="4" t="s">
        <v>39</v>
      </c>
      <c r="E207" s="4">
        <v>36</v>
      </c>
      <c r="F207" s="4">
        <v>2.63</v>
      </c>
      <c r="G207" s="6">
        <f t="shared" si="6"/>
        <v>5</v>
      </c>
      <c r="H207" s="3" t="str">
        <f t="shared" si="7"/>
        <v>★★★★★</v>
      </c>
    </row>
    <row r="208" spans="1:8" x14ac:dyDescent="0.25">
      <c r="A208" s="4" t="s">
        <v>608</v>
      </c>
      <c r="B208" s="4" t="s">
        <v>14</v>
      </c>
      <c r="C208" s="4" t="s">
        <v>109</v>
      </c>
      <c r="D208" s="4" t="s">
        <v>15</v>
      </c>
      <c r="E208" s="4">
        <v>29</v>
      </c>
      <c r="F208" s="4">
        <v>2.25</v>
      </c>
      <c r="G208" s="6">
        <f t="shared" si="6"/>
        <v>5</v>
      </c>
      <c r="H208" s="3" t="str">
        <f t="shared" si="7"/>
        <v>★★★★★</v>
      </c>
    </row>
    <row r="209" spans="1:8" x14ac:dyDescent="0.25">
      <c r="A209" s="4" t="s">
        <v>229</v>
      </c>
      <c r="B209" s="4" t="s">
        <v>20</v>
      </c>
      <c r="C209" s="4" t="s">
        <v>476</v>
      </c>
      <c r="D209" s="4" t="s">
        <v>58</v>
      </c>
      <c r="E209" s="4">
        <v>24</v>
      </c>
      <c r="F209" s="4">
        <v>0.83</v>
      </c>
      <c r="G209" s="6">
        <f t="shared" si="6"/>
        <v>2</v>
      </c>
      <c r="H209" s="3" t="str">
        <f t="shared" si="7"/>
        <v>★★</v>
      </c>
    </row>
    <row r="210" spans="1:8" x14ac:dyDescent="0.25">
      <c r="A210" s="4" t="s">
        <v>609</v>
      </c>
      <c r="B210" s="4" t="s">
        <v>29</v>
      </c>
      <c r="C210" s="4" t="s">
        <v>228</v>
      </c>
      <c r="D210" s="4" t="s">
        <v>24</v>
      </c>
      <c r="E210" s="4">
        <v>25</v>
      </c>
      <c r="F210" s="4">
        <v>0</v>
      </c>
      <c r="G210" s="6">
        <f t="shared" si="6"/>
        <v>1</v>
      </c>
      <c r="H210" s="3" t="str">
        <f t="shared" si="7"/>
        <v>★</v>
      </c>
    </row>
    <row r="211" spans="1:8" x14ac:dyDescent="0.25">
      <c r="A211" s="4" t="s">
        <v>729</v>
      </c>
      <c r="B211" s="4" t="s">
        <v>619</v>
      </c>
      <c r="C211" s="4" t="s">
        <v>476</v>
      </c>
      <c r="D211" s="4" t="s">
        <v>63</v>
      </c>
      <c r="E211" s="4">
        <v>17</v>
      </c>
      <c r="F211" s="4">
        <v>0</v>
      </c>
      <c r="G211" s="6">
        <f t="shared" si="6"/>
        <v>1</v>
      </c>
      <c r="H211" s="3" t="str">
        <f t="shared" si="7"/>
        <v>★</v>
      </c>
    </row>
    <row r="212" spans="1:8" x14ac:dyDescent="0.25">
      <c r="A212" s="4" t="s">
        <v>610</v>
      </c>
      <c r="B212" s="4" t="s">
        <v>29</v>
      </c>
      <c r="C212" s="4" t="s">
        <v>116</v>
      </c>
      <c r="D212" s="4" t="s">
        <v>39</v>
      </c>
      <c r="E212" s="4">
        <v>21</v>
      </c>
      <c r="F212" s="4">
        <v>2.4300000000000002</v>
      </c>
      <c r="G212" s="6">
        <f t="shared" si="6"/>
        <v>5</v>
      </c>
      <c r="H212" s="3" t="str">
        <f t="shared" si="7"/>
        <v>★★★★★</v>
      </c>
    </row>
    <row r="213" spans="1:8" x14ac:dyDescent="0.25">
      <c r="A213" s="4" t="s">
        <v>230</v>
      </c>
      <c r="B213" s="4" t="s">
        <v>17</v>
      </c>
      <c r="C213" s="4" t="s">
        <v>116</v>
      </c>
      <c r="D213" s="4" t="s">
        <v>87</v>
      </c>
      <c r="E213" s="4">
        <v>20</v>
      </c>
      <c r="F213" s="4">
        <v>1.43</v>
      </c>
      <c r="G213" s="6">
        <f t="shared" si="6"/>
        <v>4</v>
      </c>
      <c r="H213" s="3" t="str">
        <f t="shared" si="7"/>
        <v>★★★★</v>
      </c>
    </row>
    <row r="214" spans="1:8" x14ac:dyDescent="0.25">
      <c r="A214" s="4" t="s">
        <v>730</v>
      </c>
      <c r="B214" s="4" t="s">
        <v>29</v>
      </c>
      <c r="C214" s="4" t="s">
        <v>676</v>
      </c>
      <c r="D214" s="4" t="s">
        <v>24</v>
      </c>
      <c r="E214" s="4">
        <v>17</v>
      </c>
      <c r="F214" s="4">
        <v>0</v>
      </c>
      <c r="G214" s="6">
        <f t="shared" si="6"/>
        <v>1</v>
      </c>
      <c r="H214" s="3" t="str">
        <f t="shared" si="7"/>
        <v>★</v>
      </c>
    </row>
    <row r="215" spans="1:8" x14ac:dyDescent="0.25">
      <c r="A215" s="4" t="s">
        <v>494</v>
      </c>
      <c r="B215" s="4" t="s">
        <v>20</v>
      </c>
      <c r="C215" s="4" t="s">
        <v>109</v>
      </c>
      <c r="D215" s="4" t="s">
        <v>18</v>
      </c>
      <c r="E215" s="4">
        <v>25</v>
      </c>
      <c r="F215" s="4">
        <v>1.39</v>
      </c>
      <c r="G215" s="6">
        <f t="shared" si="6"/>
        <v>4</v>
      </c>
      <c r="H215" s="3" t="str">
        <f t="shared" si="7"/>
        <v>★★★★</v>
      </c>
    </row>
    <row r="216" spans="1:8" x14ac:dyDescent="0.25">
      <c r="A216" s="4" t="s">
        <v>231</v>
      </c>
      <c r="B216" s="4" t="s">
        <v>29</v>
      </c>
      <c r="C216" s="4" t="s">
        <v>476</v>
      </c>
      <c r="D216" s="4" t="s">
        <v>58</v>
      </c>
      <c r="E216" s="4">
        <v>29</v>
      </c>
      <c r="F216" s="4">
        <v>1.05</v>
      </c>
      <c r="G216" s="6">
        <f t="shared" si="6"/>
        <v>3</v>
      </c>
      <c r="H216" s="3" t="str">
        <f t="shared" si="7"/>
        <v>★★★</v>
      </c>
    </row>
    <row r="217" spans="1:8" x14ac:dyDescent="0.25">
      <c r="A217" s="4" t="s">
        <v>495</v>
      </c>
      <c r="B217" s="4" t="s">
        <v>496</v>
      </c>
      <c r="C217" s="4" t="s">
        <v>109</v>
      </c>
      <c r="D217" s="4" t="s">
        <v>43</v>
      </c>
      <c r="E217" s="4">
        <v>22</v>
      </c>
      <c r="F217" s="4">
        <v>0.86</v>
      </c>
      <c r="G217" s="6">
        <f t="shared" si="6"/>
        <v>3</v>
      </c>
      <c r="H217" s="3" t="str">
        <f t="shared" si="7"/>
        <v>★★★</v>
      </c>
    </row>
    <row r="218" spans="1:8" x14ac:dyDescent="0.25">
      <c r="A218" s="4" t="s">
        <v>44</v>
      </c>
      <c r="B218" s="4" t="s">
        <v>29</v>
      </c>
      <c r="C218" s="4" t="s">
        <v>116</v>
      </c>
      <c r="D218" s="4" t="s">
        <v>33</v>
      </c>
      <c r="E218" s="4">
        <v>33</v>
      </c>
      <c r="F218" s="4">
        <v>1.21</v>
      </c>
      <c r="G218" s="6">
        <f t="shared" si="6"/>
        <v>3</v>
      </c>
      <c r="H218" s="3" t="str">
        <f t="shared" si="7"/>
        <v>★★★</v>
      </c>
    </row>
    <row r="219" spans="1:8" x14ac:dyDescent="0.25">
      <c r="A219" s="4" t="s">
        <v>45</v>
      </c>
      <c r="B219" s="4" t="s">
        <v>29</v>
      </c>
      <c r="C219" s="4" t="s">
        <v>109</v>
      </c>
      <c r="D219" s="4" t="s">
        <v>24</v>
      </c>
      <c r="E219" s="4">
        <v>38</v>
      </c>
      <c r="F219" s="4">
        <v>0.77</v>
      </c>
      <c r="G219" s="6">
        <f t="shared" si="6"/>
        <v>2</v>
      </c>
      <c r="H219" s="3" t="str">
        <f t="shared" si="7"/>
        <v>★★</v>
      </c>
    </row>
    <row r="220" spans="1:8" x14ac:dyDescent="0.25">
      <c r="A220" s="4" t="s">
        <v>232</v>
      </c>
      <c r="B220" s="4" t="s">
        <v>124</v>
      </c>
      <c r="C220" s="4" t="s">
        <v>109</v>
      </c>
      <c r="D220" s="4" t="s">
        <v>43</v>
      </c>
      <c r="E220" s="4">
        <v>25</v>
      </c>
      <c r="F220" s="4">
        <v>0</v>
      </c>
      <c r="G220" s="6">
        <f t="shared" si="6"/>
        <v>1</v>
      </c>
      <c r="H220" s="3" t="str">
        <f t="shared" si="7"/>
        <v>★</v>
      </c>
    </row>
    <row r="221" spans="1:8" x14ac:dyDescent="0.25">
      <c r="A221" s="4" t="s">
        <v>497</v>
      </c>
      <c r="B221" s="4" t="s">
        <v>127</v>
      </c>
      <c r="C221" s="4" t="s">
        <v>476</v>
      </c>
      <c r="D221" s="4" t="s">
        <v>35</v>
      </c>
      <c r="E221" s="4">
        <v>27</v>
      </c>
      <c r="F221" s="4">
        <v>1.19</v>
      </c>
      <c r="G221" s="6">
        <f t="shared" si="6"/>
        <v>3</v>
      </c>
      <c r="H221" s="3" t="str">
        <f t="shared" si="7"/>
        <v>★★★</v>
      </c>
    </row>
    <row r="222" spans="1:8" x14ac:dyDescent="0.25">
      <c r="A222" s="4" t="s">
        <v>233</v>
      </c>
      <c r="B222" s="4" t="s">
        <v>14</v>
      </c>
      <c r="C222" s="4" t="s">
        <v>116</v>
      </c>
      <c r="D222" s="4" t="s">
        <v>47</v>
      </c>
      <c r="E222" s="4">
        <v>28</v>
      </c>
      <c r="F222" s="4">
        <v>1.75</v>
      </c>
      <c r="G222" s="6">
        <f t="shared" si="6"/>
        <v>5</v>
      </c>
      <c r="H222" s="3" t="str">
        <f t="shared" si="7"/>
        <v>★★★★★</v>
      </c>
    </row>
    <row r="223" spans="1:8" x14ac:dyDescent="0.25">
      <c r="A223" s="4" t="s">
        <v>234</v>
      </c>
      <c r="B223" s="4" t="s">
        <v>29</v>
      </c>
      <c r="C223" s="4" t="s">
        <v>476</v>
      </c>
      <c r="D223" s="4" t="s">
        <v>18</v>
      </c>
      <c r="E223" s="4">
        <v>28</v>
      </c>
      <c r="F223" s="4">
        <v>1.57</v>
      </c>
      <c r="G223" s="6">
        <f t="shared" si="6"/>
        <v>4</v>
      </c>
      <c r="H223" s="3" t="str">
        <f t="shared" si="7"/>
        <v>★★★★</v>
      </c>
    </row>
    <row r="224" spans="1:8" x14ac:dyDescent="0.25">
      <c r="A224" s="4" t="s">
        <v>235</v>
      </c>
      <c r="B224" s="4" t="s">
        <v>57</v>
      </c>
      <c r="C224" s="4" t="s">
        <v>584</v>
      </c>
      <c r="D224" s="4" t="s">
        <v>58</v>
      </c>
      <c r="E224" s="4">
        <v>17</v>
      </c>
      <c r="F224" s="4">
        <v>1.5</v>
      </c>
      <c r="G224" s="6">
        <f t="shared" si="6"/>
        <v>4</v>
      </c>
      <c r="H224" s="3" t="str">
        <f t="shared" si="7"/>
        <v>★★★★</v>
      </c>
    </row>
    <row r="225" spans="1:8" x14ac:dyDescent="0.25">
      <c r="A225" s="4" t="s">
        <v>236</v>
      </c>
      <c r="B225" s="4" t="s">
        <v>29</v>
      </c>
      <c r="C225" s="4" t="s">
        <v>584</v>
      </c>
      <c r="D225" s="4" t="s">
        <v>30</v>
      </c>
      <c r="E225" s="4">
        <v>21</v>
      </c>
      <c r="F225" s="4">
        <v>1.32</v>
      </c>
      <c r="G225" s="6">
        <f t="shared" si="6"/>
        <v>4</v>
      </c>
      <c r="H225" s="3" t="str">
        <f t="shared" si="7"/>
        <v>★★★★</v>
      </c>
    </row>
    <row r="226" spans="1:8" x14ac:dyDescent="0.25">
      <c r="A226" s="4" t="s">
        <v>611</v>
      </c>
      <c r="B226" s="4" t="s">
        <v>20</v>
      </c>
      <c r="C226" s="4" t="s">
        <v>116</v>
      </c>
      <c r="D226" s="4" t="s">
        <v>47</v>
      </c>
      <c r="E226" s="4">
        <v>17</v>
      </c>
      <c r="F226" s="4">
        <v>0.5</v>
      </c>
      <c r="G226" s="6">
        <f t="shared" si="6"/>
        <v>2</v>
      </c>
      <c r="H226" s="3" t="str">
        <f t="shared" si="7"/>
        <v>★★</v>
      </c>
    </row>
    <row r="227" spans="1:8" x14ac:dyDescent="0.25">
      <c r="A227" s="4" t="s">
        <v>612</v>
      </c>
      <c r="B227" s="4" t="s">
        <v>29</v>
      </c>
      <c r="C227" s="4" t="s">
        <v>228</v>
      </c>
      <c r="D227" s="4" t="s">
        <v>35</v>
      </c>
      <c r="E227" s="4">
        <v>30</v>
      </c>
      <c r="F227" s="4">
        <v>1.5</v>
      </c>
      <c r="G227" s="6">
        <f t="shared" si="6"/>
        <v>4</v>
      </c>
      <c r="H227" s="3" t="str">
        <f t="shared" si="7"/>
        <v>★★★★</v>
      </c>
    </row>
    <row r="228" spans="1:8" x14ac:dyDescent="0.25">
      <c r="A228" s="4" t="s">
        <v>237</v>
      </c>
      <c r="B228" s="4" t="s">
        <v>133</v>
      </c>
      <c r="C228" s="4" t="s">
        <v>476</v>
      </c>
      <c r="D228" s="4" t="s">
        <v>27</v>
      </c>
      <c r="E228" s="4">
        <v>25</v>
      </c>
      <c r="F228" s="4">
        <v>0.67</v>
      </c>
      <c r="G228" s="6">
        <f t="shared" si="6"/>
        <v>2</v>
      </c>
      <c r="H228" s="3" t="str">
        <f t="shared" si="7"/>
        <v>★★</v>
      </c>
    </row>
    <row r="229" spans="1:8" x14ac:dyDescent="0.25">
      <c r="A229" s="4" t="s">
        <v>46</v>
      </c>
      <c r="B229" s="4" t="s">
        <v>20</v>
      </c>
      <c r="C229" s="4" t="s">
        <v>584</v>
      </c>
      <c r="D229" s="4" t="s">
        <v>47</v>
      </c>
      <c r="E229" s="4">
        <v>30</v>
      </c>
      <c r="F229" s="4">
        <v>1.53</v>
      </c>
      <c r="G229" s="6">
        <f t="shared" si="6"/>
        <v>4</v>
      </c>
      <c r="H229" s="3" t="str">
        <f t="shared" si="7"/>
        <v>★★★★</v>
      </c>
    </row>
    <row r="230" spans="1:8" x14ac:dyDescent="0.25">
      <c r="A230" s="4" t="s">
        <v>498</v>
      </c>
      <c r="B230" s="4" t="s">
        <v>29</v>
      </c>
      <c r="C230" s="4" t="s">
        <v>109</v>
      </c>
      <c r="D230" s="4" t="s">
        <v>58</v>
      </c>
      <c r="E230" s="4">
        <v>19</v>
      </c>
      <c r="F230" s="4">
        <v>0.65</v>
      </c>
      <c r="G230" s="6">
        <f t="shared" si="6"/>
        <v>2</v>
      </c>
      <c r="H230" s="3" t="str">
        <f t="shared" si="7"/>
        <v>★★</v>
      </c>
    </row>
    <row r="231" spans="1:8" x14ac:dyDescent="0.25">
      <c r="A231" s="4" t="s">
        <v>499</v>
      </c>
      <c r="B231" s="4" t="s">
        <v>60</v>
      </c>
      <c r="C231" s="4" t="s">
        <v>116</v>
      </c>
      <c r="D231" s="4" t="s">
        <v>69</v>
      </c>
      <c r="E231" s="4">
        <v>26</v>
      </c>
      <c r="F231" s="4">
        <v>1.1100000000000001</v>
      </c>
      <c r="G231" s="6">
        <f t="shared" si="6"/>
        <v>3</v>
      </c>
      <c r="H231" s="3" t="str">
        <f t="shared" si="7"/>
        <v>★★★</v>
      </c>
    </row>
    <row r="232" spans="1:8" x14ac:dyDescent="0.25">
      <c r="A232" s="4" t="s">
        <v>499</v>
      </c>
      <c r="B232" s="4" t="s">
        <v>60</v>
      </c>
      <c r="C232" s="4" t="s">
        <v>109</v>
      </c>
      <c r="D232" s="4" t="s">
        <v>27</v>
      </c>
      <c r="E232" s="4">
        <v>26</v>
      </c>
      <c r="F232" s="4">
        <v>1.5</v>
      </c>
      <c r="G232" s="6">
        <f t="shared" si="6"/>
        <v>4</v>
      </c>
      <c r="H232" s="3" t="str">
        <f t="shared" si="7"/>
        <v>★★★★</v>
      </c>
    </row>
    <row r="233" spans="1:8" x14ac:dyDescent="0.25">
      <c r="A233" s="4" t="s">
        <v>238</v>
      </c>
      <c r="B233" s="4" t="s">
        <v>239</v>
      </c>
      <c r="C233" s="4" t="s">
        <v>116</v>
      </c>
      <c r="D233" s="4" t="s">
        <v>43</v>
      </c>
      <c r="E233" s="4">
        <v>27</v>
      </c>
      <c r="F233" s="4">
        <v>0.82</v>
      </c>
      <c r="G233" s="6">
        <f t="shared" si="6"/>
        <v>2</v>
      </c>
      <c r="H233" s="3" t="str">
        <f t="shared" si="7"/>
        <v>★★</v>
      </c>
    </row>
    <row r="234" spans="1:8" x14ac:dyDescent="0.25">
      <c r="A234" s="4" t="s">
        <v>240</v>
      </c>
      <c r="B234" s="4" t="s">
        <v>241</v>
      </c>
      <c r="C234" s="4" t="s">
        <v>584</v>
      </c>
      <c r="D234" s="4" t="s">
        <v>50</v>
      </c>
      <c r="E234" s="4">
        <v>25</v>
      </c>
      <c r="F234" s="4">
        <v>0.78</v>
      </c>
      <c r="G234" s="6">
        <f t="shared" si="6"/>
        <v>2</v>
      </c>
      <c r="H234" s="3" t="str">
        <f t="shared" si="7"/>
        <v>★★</v>
      </c>
    </row>
    <row r="235" spans="1:8" x14ac:dyDescent="0.25">
      <c r="A235" s="4" t="s">
        <v>731</v>
      </c>
      <c r="B235" s="4" t="s">
        <v>29</v>
      </c>
      <c r="C235" s="4" t="s">
        <v>584</v>
      </c>
      <c r="D235" s="4" t="s">
        <v>50</v>
      </c>
      <c r="E235" s="4">
        <v>18</v>
      </c>
      <c r="F235" s="4">
        <v>0</v>
      </c>
      <c r="G235" s="6">
        <f t="shared" si="6"/>
        <v>1</v>
      </c>
      <c r="H235" s="3" t="str">
        <f t="shared" si="7"/>
        <v>★</v>
      </c>
    </row>
    <row r="236" spans="1:8" x14ac:dyDescent="0.25">
      <c r="A236" s="4" t="s">
        <v>500</v>
      </c>
      <c r="B236" s="4" t="s">
        <v>29</v>
      </c>
      <c r="C236" s="4" t="s">
        <v>476</v>
      </c>
      <c r="D236" s="4" t="s">
        <v>81</v>
      </c>
      <c r="E236" s="4">
        <v>21</v>
      </c>
      <c r="F236" s="4">
        <v>0</v>
      </c>
      <c r="G236" s="6">
        <f t="shared" si="6"/>
        <v>1</v>
      </c>
      <c r="H236" s="3" t="str">
        <f t="shared" si="7"/>
        <v>★</v>
      </c>
    </row>
    <row r="237" spans="1:8" x14ac:dyDescent="0.25">
      <c r="A237" s="4" t="s">
        <v>242</v>
      </c>
      <c r="B237" s="4" t="s">
        <v>29</v>
      </c>
      <c r="C237" s="4" t="s">
        <v>471</v>
      </c>
      <c r="D237" s="4" t="s">
        <v>50</v>
      </c>
      <c r="E237" s="4">
        <v>28</v>
      </c>
      <c r="F237" s="4">
        <v>0.79</v>
      </c>
      <c r="G237" s="6">
        <f t="shared" si="6"/>
        <v>2</v>
      </c>
      <c r="H237" s="3" t="str">
        <f t="shared" si="7"/>
        <v>★★</v>
      </c>
    </row>
    <row r="238" spans="1:8" x14ac:dyDescent="0.25">
      <c r="A238" s="4" t="s">
        <v>732</v>
      </c>
      <c r="B238" s="4" t="s">
        <v>29</v>
      </c>
      <c r="C238" s="4" t="s">
        <v>109</v>
      </c>
      <c r="D238" s="4" t="s">
        <v>35</v>
      </c>
      <c r="E238" s="4">
        <v>29</v>
      </c>
      <c r="F238" s="4">
        <v>0</v>
      </c>
      <c r="G238" s="6">
        <f t="shared" si="6"/>
        <v>1</v>
      </c>
      <c r="H238" s="3" t="str">
        <f t="shared" si="7"/>
        <v>★</v>
      </c>
    </row>
    <row r="239" spans="1:8" x14ac:dyDescent="0.25">
      <c r="A239" s="4" t="s">
        <v>243</v>
      </c>
      <c r="B239" s="4" t="s">
        <v>127</v>
      </c>
      <c r="C239" s="4" t="s">
        <v>116</v>
      </c>
      <c r="D239" s="4" t="s">
        <v>50</v>
      </c>
      <c r="E239" s="4">
        <v>20</v>
      </c>
      <c r="F239" s="4">
        <v>0.33</v>
      </c>
      <c r="G239" s="6">
        <f t="shared" si="6"/>
        <v>2</v>
      </c>
      <c r="H239" s="3" t="str">
        <f t="shared" si="7"/>
        <v>★★</v>
      </c>
    </row>
    <row r="240" spans="1:8" x14ac:dyDescent="0.25">
      <c r="A240" s="4" t="s">
        <v>244</v>
      </c>
      <c r="B240" s="4" t="s">
        <v>29</v>
      </c>
      <c r="C240" s="4" t="s">
        <v>109</v>
      </c>
      <c r="D240" s="4" t="s">
        <v>27</v>
      </c>
      <c r="E240" s="4">
        <v>23</v>
      </c>
      <c r="F240" s="4">
        <v>0.83</v>
      </c>
      <c r="G240" s="6">
        <f t="shared" si="6"/>
        <v>2</v>
      </c>
      <c r="H240" s="3" t="str">
        <f t="shared" si="7"/>
        <v>★★</v>
      </c>
    </row>
    <row r="241" spans="1:8" x14ac:dyDescent="0.25">
      <c r="A241" s="4" t="s">
        <v>733</v>
      </c>
      <c r="B241" s="4" t="s">
        <v>276</v>
      </c>
      <c r="C241" s="4" t="s">
        <v>109</v>
      </c>
      <c r="D241" s="4" t="s">
        <v>65</v>
      </c>
      <c r="E241" s="4">
        <v>26</v>
      </c>
      <c r="F241" s="4">
        <v>0</v>
      </c>
      <c r="G241" s="6">
        <f t="shared" si="6"/>
        <v>1</v>
      </c>
      <c r="H241" s="3" t="str">
        <f t="shared" si="7"/>
        <v>★</v>
      </c>
    </row>
    <row r="242" spans="1:8" x14ac:dyDescent="0.25">
      <c r="A242" s="4" t="s">
        <v>245</v>
      </c>
      <c r="B242" s="4" t="s">
        <v>83</v>
      </c>
      <c r="C242" s="4" t="s">
        <v>116</v>
      </c>
      <c r="D242" s="4" t="s">
        <v>27</v>
      </c>
      <c r="E242" s="4">
        <v>28</v>
      </c>
      <c r="F242" s="4">
        <v>1.1399999999999999</v>
      </c>
      <c r="G242" s="6">
        <f t="shared" si="6"/>
        <v>3</v>
      </c>
      <c r="H242" s="3" t="str">
        <f t="shared" si="7"/>
        <v>★★★</v>
      </c>
    </row>
    <row r="243" spans="1:8" x14ac:dyDescent="0.25">
      <c r="A243" s="4" t="s">
        <v>246</v>
      </c>
      <c r="B243" s="4" t="s">
        <v>83</v>
      </c>
      <c r="C243" s="4" t="s">
        <v>584</v>
      </c>
      <c r="D243" s="4" t="s">
        <v>81</v>
      </c>
      <c r="E243" s="4">
        <v>22</v>
      </c>
      <c r="F243" s="4">
        <v>1.75</v>
      </c>
      <c r="G243" s="6">
        <f t="shared" si="6"/>
        <v>5</v>
      </c>
      <c r="H243" s="3" t="str">
        <f t="shared" si="7"/>
        <v>★★★★★</v>
      </c>
    </row>
    <row r="244" spans="1:8" x14ac:dyDescent="0.25">
      <c r="A244" s="4" t="s">
        <v>247</v>
      </c>
      <c r="B244" s="4" t="s">
        <v>29</v>
      </c>
      <c r="C244" s="4" t="s">
        <v>109</v>
      </c>
      <c r="D244" s="4" t="s">
        <v>15</v>
      </c>
      <c r="E244" s="4">
        <v>24</v>
      </c>
      <c r="F244" s="4">
        <v>2.5</v>
      </c>
      <c r="G244" s="6">
        <f t="shared" si="6"/>
        <v>5</v>
      </c>
      <c r="H244" s="3" t="str">
        <f t="shared" si="7"/>
        <v>★★★★★</v>
      </c>
    </row>
    <row r="245" spans="1:8" x14ac:dyDescent="0.25">
      <c r="A245" s="4" t="s">
        <v>734</v>
      </c>
      <c r="B245" s="4" t="s">
        <v>17</v>
      </c>
      <c r="C245" s="4" t="s">
        <v>109</v>
      </c>
      <c r="D245" s="4" t="s">
        <v>53</v>
      </c>
      <c r="E245" s="4">
        <v>20</v>
      </c>
      <c r="F245" s="4">
        <v>0</v>
      </c>
      <c r="G245" s="6">
        <f t="shared" si="6"/>
        <v>1</v>
      </c>
      <c r="H245" s="3" t="str">
        <f t="shared" si="7"/>
        <v>★</v>
      </c>
    </row>
    <row r="246" spans="1:8" x14ac:dyDescent="0.25">
      <c r="A246" s="4" t="s">
        <v>248</v>
      </c>
      <c r="B246" s="4" t="s">
        <v>29</v>
      </c>
      <c r="C246" s="4" t="s">
        <v>109</v>
      </c>
      <c r="D246" s="4" t="s">
        <v>43</v>
      </c>
      <c r="E246" s="4">
        <v>25</v>
      </c>
      <c r="F246" s="4">
        <v>1.33</v>
      </c>
      <c r="G246" s="6">
        <f t="shared" si="6"/>
        <v>4</v>
      </c>
      <c r="H246" s="3" t="str">
        <f t="shared" si="7"/>
        <v>★★★★</v>
      </c>
    </row>
    <row r="247" spans="1:8" x14ac:dyDescent="0.25">
      <c r="A247" s="4" t="s">
        <v>501</v>
      </c>
      <c r="B247" s="4" t="s">
        <v>29</v>
      </c>
      <c r="C247" s="4" t="s">
        <v>584</v>
      </c>
      <c r="D247" s="4" t="s">
        <v>27</v>
      </c>
      <c r="E247" s="4">
        <v>20</v>
      </c>
      <c r="F247" s="4">
        <v>0.91</v>
      </c>
      <c r="G247" s="6">
        <f t="shared" si="6"/>
        <v>3</v>
      </c>
      <c r="H247" s="3" t="str">
        <f t="shared" si="7"/>
        <v>★★★</v>
      </c>
    </row>
    <row r="248" spans="1:8" x14ac:dyDescent="0.25">
      <c r="A248" s="4" t="s">
        <v>613</v>
      </c>
      <c r="B248" s="4" t="s">
        <v>29</v>
      </c>
      <c r="C248" s="4" t="s">
        <v>109</v>
      </c>
      <c r="D248" s="4" t="s">
        <v>15</v>
      </c>
      <c r="E248" s="4">
        <v>16</v>
      </c>
      <c r="F248" s="4">
        <v>3</v>
      </c>
      <c r="G248" s="6">
        <f t="shared" si="6"/>
        <v>5</v>
      </c>
      <c r="H248" s="3" t="str">
        <f t="shared" si="7"/>
        <v>★★★★★</v>
      </c>
    </row>
    <row r="249" spans="1:8" x14ac:dyDescent="0.25">
      <c r="A249" s="4" t="s">
        <v>249</v>
      </c>
      <c r="B249" s="4" t="s">
        <v>29</v>
      </c>
      <c r="C249" s="4" t="s">
        <v>584</v>
      </c>
      <c r="D249" s="4" t="s">
        <v>24</v>
      </c>
      <c r="E249" s="4">
        <v>31</v>
      </c>
      <c r="F249" s="4">
        <v>1</v>
      </c>
      <c r="G249" s="6">
        <f t="shared" si="6"/>
        <v>3</v>
      </c>
      <c r="H249" s="3" t="str">
        <f t="shared" si="7"/>
        <v>★★★</v>
      </c>
    </row>
    <row r="250" spans="1:8" x14ac:dyDescent="0.25">
      <c r="A250" s="4" t="s">
        <v>735</v>
      </c>
      <c r="B250" s="4" t="s">
        <v>29</v>
      </c>
      <c r="C250" s="4" t="s">
        <v>116</v>
      </c>
      <c r="D250" s="4" t="s">
        <v>58</v>
      </c>
      <c r="E250" s="4">
        <v>15</v>
      </c>
      <c r="F250" s="4">
        <v>0</v>
      </c>
      <c r="G250" s="6">
        <f t="shared" si="6"/>
        <v>1</v>
      </c>
      <c r="H250" s="3" t="str">
        <f t="shared" si="7"/>
        <v>★</v>
      </c>
    </row>
    <row r="251" spans="1:8" x14ac:dyDescent="0.25">
      <c r="A251" s="4" t="s">
        <v>502</v>
      </c>
      <c r="B251" s="4" t="s">
        <v>29</v>
      </c>
      <c r="C251" s="4" t="s">
        <v>116</v>
      </c>
      <c r="D251" s="4" t="s">
        <v>27</v>
      </c>
      <c r="E251" s="4">
        <v>25</v>
      </c>
      <c r="F251" s="4">
        <v>1.03</v>
      </c>
      <c r="G251" s="6">
        <f t="shared" si="6"/>
        <v>3</v>
      </c>
      <c r="H251" s="3" t="str">
        <f t="shared" si="7"/>
        <v>★★★</v>
      </c>
    </row>
    <row r="252" spans="1:8" x14ac:dyDescent="0.25">
      <c r="A252" s="4" t="s">
        <v>614</v>
      </c>
      <c r="B252" s="4" t="s">
        <v>29</v>
      </c>
      <c r="C252" s="4" t="s">
        <v>584</v>
      </c>
      <c r="D252" s="4" t="s">
        <v>39</v>
      </c>
      <c r="E252" s="4">
        <v>25</v>
      </c>
      <c r="F252" s="4">
        <v>2.31</v>
      </c>
      <c r="G252" s="6">
        <f t="shared" si="6"/>
        <v>5</v>
      </c>
      <c r="H252" s="3" t="str">
        <f t="shared" si="7"/>
        <v>★★★★★</v>
      </c>
    </row>
    <row r="253" spans="1:8" x14ac:dyDescent="0.25">
      <c r="A253" s="4" t="s">
        <v>503</v>
      </c>
      <c r="B253" s="4" t="s">
        <v>29</v>
      </c>
      <c r="C253" s="4" t="s">
        <v>109</v>
      </c>
      <c r="D253" s="4" t="s">
        <v>47</v>
      </c>
      <c r="E253" s="4">
        <v>19</v>
      </c>
      <c r="F253" s="4">
        <v>1.72</v>
      </c>
      <c r="G253" s="6">
        <f t="shared" si="6"/>
        <v>4</v>
      </c>
      <c r="H253" s="3" t="str">
        <f t="shared" si="7"/>
        <v>★★★★</v>
      </c>
    </row>
    <row r="254" spans="1:8" x14ac:dyDescent="0.25">
      <c r="A254" s="4" t="s">
        <v>504</v>
      </c>
      <c r="B254" s="4" t="s">
        <v>29</v>
      </c>
      <c r="C254" s="4" t="s">
        <v>116</v>
      </c>
      <c r="D254" s="4" t="s">
        <v>58</v>
      </c>
      <c r="E254" s="4">
        <v>19</v>
      </c>
      <c r="F254" s="4">
        <v>1.57</v>
      </c>
      <c r="G254" s="6">
        <f t="shared" si="6"/>
        <v>4</v>
      </c>
      <c r="H254" s="3" t="str">
        <f t="shared" si="7"/>
        <v>★★★★</v>
      </c>
    </row>
    <row r="255" spans="1:8" x14ac:dyDescent="0.25">
      <c r="A255" s="4" t="s">
        <v>736</v>
      </c>
      <c r="B255" s="4" t="s">
        <v>29</v>
      </c>
      <c r="C255" s="4" t="s">
        <v>676</v>
      </c>
      <c r="D255" s="4" t="s">
        <v>24</v>
      </c>
      <c r="E255" s="4">
        <v>16</v>
      </c>
      <c r="F255" s="4">
        <v>0</v>
      </c>
      <c r="G255" s="6">
        <f t="shared" si="6"/>
        <v>1</v>
      </c>
      <c r="H255" s="3" t="str">
        <f t="shared" si="7"/>
        <v>★</v>
      </c>
    </row>
    <row r="256" spans="1:8" x14ac:dyDescent="0.25">
      <c r="A256" s="4" t="s">
        <v>250</v>
      </c>
      <c r="B256" s="4" t="s">
        <v>62</v>
      </c>
      <c r="C256" s="4" t="s">
        <v>109</v>
      </c>
      <c r="D256" s="4" t="s">
        <v>85</v>
      </c>
      <c r="E256" s="4">
        <v>30</v>
      </c>
      <c r="F256" s="4">
        <v>1.34</v>
      </c>
      <c r="G256" s="6">
        <f t="shared" si="6"/>
        <v>4</v>
      </c>
      <c r="H256" s="3" t="str">
        <f t="shared" si="7"/>
        <v>★★★★</v>
      </c>
    </row>
    <row r="257" spans="1:8" x14ac:dyDescent="0.25">
      <c r="A257" s="4" t="s">
        <v>48</v>
      </c>
      <c r="B257" s="4" t="s">
        <v>20</v>
      </c>
      <c r="C257" s="4" t="s">
        <v>109</v>
      </c>
      <c r="D257" s="4" t="s">
        <v>30</v>
      </c>
      <c r="E257" s="4">
        <v>34</v>
      </c>
      <c r="F257" s="4">
        <v>1.27</v>
      </c>
      <c r="G257" s="6">
        <f t="shared" si="6"/>
        <v>4</v>
      </c>
      <c r="H257" s="3" t="str">
        <f t="shared" si="7"/>
        <v>★★★★</v>
      </c>
    </row>
    <row r="258" spans="1:8" x14ac:dyDescent="0.25">
      <c r="A258" s="4" t="s">
        <v>251</v>
      </c>
      <c r="B258" s="4" t="s">
        <v>29</v>
      </c>
      <c r="C258" s="4" t="s">
        <v>109</v>
      </c>
      <c r="D258" s="4" t="s">
        <v>30</v>
      </c>
      <c r="E258" s="4">
        <v>21</v>
      </c>
      <c r="F258" s="4">
        <v>1.25</v>
      </c>
      <c r="G258" s="6">
        <f t="shared" si="6"/>
        <v>3</v>
      </c>
      <c r="H258" s="3" t="str">
        <f t="shared" si="7"/>
        <v>★★★</v>
      </c>
    </row>
    <row r="259" spans="1:8" x14ac:dyDescent="0.25">
      <c r="A259" s="4" t="s">
        <v>737</v>
      </c>
      <c r="B259" s="4" t="s">
        <v>17</v>
      </c>
      <c r="C259" s="4" t="s">
        <v>584</v>
      </c>
      <c r="D259" s="4" t="s">
        <v>69</v>
      </c>
      <c r="E259" s="4">
        <v>26</v>
      </c>
      <c r="F259" s="4">
        <v>0</v>
      </c>
      <c r="G259" s="6">
        <f t="shared" ref="G259:G322" si="8">VLOOKUP(F259,$K$10:$M$15,3,1)</f>
        <v>1</v>
      </c>
      <c r="H259" s="3" t="str">
        <f t="shared" ref="H259:H322" si="9">_xlfn.IFS(G259=0,"☆",G259=0.5,"½", G259=1,"★",G259 =1.5,"★½", G259 =2.5,"★★½", G259=2,"★★", G259=3,"★★★", G259 =3.5,"★★★½",G259=4,"★★★★", G259 =4.5,"★★★★½", G259=5,"★★★★★")</f>
        <v>★</v>
      </c>
    </row>
    <row r="260" spans="1:8" x14ac:dyDescent="0.25">
      <c r="A260" s="4" t="s">
        <v>252</v>
      </c>
      <c r="B260" s="4" t="s">
        <v>14</v>
      </c>
      <c r="C260" s="4" t="s">
        <v>676</v>
      </c>
      <c r="D260" s="4" t="s">
        <v>35</v>
      </c>
      <c r="E260" s="4">
        <v>23</v>
      </c>
      <c r="F260" s="4">
        <v>2</v>
      </c>
      <c r="G260" s="6">
        <f t="shared" si="8"/>
        <v>5</v>
      </c>
      <c r="H260" s="3" t="str">
        <f t="shared" si="9"/>
        <v>★★★★★</v>
      </c>
    </row>
    <row r="261" spans="1:8" x14ac:dyDescent="0.25">
      <c r="A261" s="4" t="s">
        <v>253</v>
      </c>
      <c r="B261" s="4" t="s">
        <v>62</v>
      </c>
      <c r="C261" s="4" t="s">
        <v>116</v>
      </c>
      <c r="D261" s="4" t="s">
        <v>39</v>
      </c>
      <c r="E261" s="4">
        <v>30</v>
      </c>
      <c r="F261" s="4">
        <v>2.7</v>
      </c>
      <c r="G261" s="6">
        <f t="shared" si="8"/>
        <v>5</v>
      </c>
      <c r="H261" s="3" t="str">
        <f t="shared" si="9"/>
        <v>★★★★★</v>
      </c>
    </row>
    <row r="262" spans="1:8" x14ac:dyDescent="0.25">
      <c r="A262" s="4" t="s">
        <v>49</v>
      </c>
      <c r="B262" s="4" t="s">
        <v>29</v>
      </c>
      <c r="C262" s="4" t="s">
        <v>228</v>
      </c>
      <c r="D262" s="4" t="s">
        <v>50</v>
      </c>
      <c r="E262" s="4">
        <v>25</v>
      </c>
      <c r="F262" s="4">
        <v>0.56000000000000005</v>
      </c>
      <c r="G262" s="6">
        <f t="shared" si="8"/>
        <v>2</v>
      </c>
      <c r="H262" s="3" t="str">
        <f t="shared" si="9"/>
        <v>★★</v>
      </c>
    </row>
    <row r="263" spans="1:8" x14ac:dyDescent="0.25">
      <c r="A263" s="4" t="s">
        <v>738</v>
      </c>
      <c r="B263" s="4" t="s">
        <v>144</v>
      </c>
      <c r="C263" s="4" t="s">
        <v>109</v>
      </c>
      <c r="D263" s="4" t="s">
        <v>43</v>
      </c>
      <c r="E263" s="4">
        <v>20</v>
      </c>
      <c r="F263" s="4">
        <v>0</v>
      </c>
      <c r="G263" s="6">
        <f t="shared" si="8"/>
        <v>1</v>
      </c>
      <c r="H263" s="3" t="str">
        <f t="shared" si="9"/>
        <v>★</v>
      </c>
    </row>
    <row r="264" spans="1:8" x14ac:dyDescent="0.25">
      <c r="A264" s="4" t="s">
        <v>739</v>
      </c>
      <c r="B264" s="4" t="s">
        <v>29</v>
      </c>
      <c r="C264" s="4" t="s">
        <v>109</v>
      </c>
      <c r="D264" s="4" t="s">
        <v>21</v>
      </c>
      <c r="E264" s="4">
        <v>16</v>
      </c>
      <c r="F264" s="4">
        <v>0</v>
      </c>
      <c r="G264" s="6">
        <f t="shared" si="8"/>
        <v>1</v>
      </c>
      <c r="H264" s="3" t="str">
        <f t="shared" si="9"/>
        <v>★</v>
      </c>
    </row>
    <row r="265" spans="1:8" x14ac:dyDescent="0.25">
      <c r="A265" s="4" t="s">
        <v>254</v>
      </c>
      <c r="B265" s="4" t="s">
        <v>127</v>
      </c>
      <c r="C265" s="4" t="s">
        <v>109</v>
      </c>
      <c r="D265" s="4" t="s">
        <v>50</v>
      </c>
      <c r="E265" s="4">
        <v>29</v>
      </c>
      <c r="F265" s="4">
        <v>0.57999999999999996</v>
      </c>
      <c r="G265" s="6">
        <f t="shared" si="8"/>
        <v>2</v>
      </c>
      <c r="H265" s="3" t="str">
        <f t="shared" si="9"/>
        <v>★★</v>
      </c>
    </row>
    <row r="266" spans="1:8" x14ac:dyDescent="0.25">
      <c r="A266" s="4" t="s">
        <v>740</v>
      </c>
      <c r="B266" s="4" t="s">
        <v>29</v>
      </c>
      <c r="C266" s="4" t="s">
        <v>116</v>
      </c>
      <c r="D266" s="4" t="s">
        <v>30</v>
      </c>
      <c r="E266" s="4">
        <v>20</v>
      </c>
      <c r="F266" s="4">
        <v>0</v>
      </c>
      <c r="G266" s="6">
        <f t="shared" si="8"/>
        <v>1</v>
      </c>
      <c r="H266" s="3" t="str">
        <f t="shared" si="9"/>
        <v>★</v>
      </c>
    </row>
    <row r="267" spans="1:8" x14ac:dyDescent="0.25">
      <c r="A267" s="4" t="s">
        <v>505</v>
      </c>
      <c r="B267" s="4" t="s">
        <v>29</v>
      </c>
      <c r="C267" s="4" t="s">
        <v>116</v>
      </c>
      <c r="D267" s="4" t="s">
        <v>58</v>
      </c>
      <c r="E267" s="4">
        <v>24</v>
      </c>
      <c r="F267" s="4">
        <v>0.89</v>
      </c>
      <c r="G267" s="6">
        <f t="shared" si="8"/>
        <v>3</v>
      </c>
      <c r="H267" s="3" t="str">
        <f t="shared" si="9"/>
        <v>★★★</v>
      </c>
    </row>
    <row r="268" spans="1:8" x14ac:dyDescent="0.25">
      <c r="A268" s="4" t="s">
        <v>255</v>
      </c>
      <c r="B268" s="4" t="s">
        <v>29</v>
      </c>
      <c r="C268" s="4" t="s">
        <v>109</v>
      </c>
      <c r="D268" s="4" t="s">
        <v>69</v>
      </c>
      <c r="E268" s="4">
        <v>26</v>
      </c>
      <c r="F268" s="4">
        <v>1.1399999999999999</v>
      </c>
      <c r="G268" s="6">
        <f t="shared" si="8"/>
        <v>3</v>
      </c>
      <c r="H268" s="3" t="str">
        <f t="shared" si="9"/>
        <v>★★★</v>
      </c>
    </row>
    <row r="269" spans="1:8" x14ac:dyDescent="0.25">
      <c r="A269" s="4" t="s">
        <v>506</v>
      </c>
      <c r="B269" s="4" t="s">
        <v>62</v>
      </c>
      <c r="C269" s="4" t="s">
        <v>116</v>
      </c>
      <c r="D269" s="4" t="s">
        <v>21</v>
      </c>
      <c r="E269" s="4">
        <v>22</v>
      </c>
      <c r="F269" s="4">
        <v>2</v>
      </c>
      <c r="G269" s="6">
        <f t="shared" si="8"/>
        <v>5</v>
      </c>
      <c r="H269" s="3" t="str">
        <f t="shared" si="9"/>
        <v>★★★★★</v>
      </c>
    </row>
    <row r="270" spans="1:8" x14ac:dyDescent="0.25">
      <c r="A270" s="4" t="s">
        <v>256</v>
      </c>
      <c r="B270" s="4" t="s">
        <v>29</v>
      </c>
      <c r="C270" s="4" t="s">
        <v>676</v>
      </c>
      <c r="D270" s="4" t="s">
        <v>35</v>
      </c>
      <c r="E270" s="4">
        <v>26</v>
      </c>
      <c r="F270" s="4">
        <v>0.36</v>
      </c>
      <c r="G270" s="6">
        <f t="shared" si="8"/>
        <v>2</v>
      </c>
      <c r="H270" s="3" t="str">
        <f t="shared" si="9"/>
        <v>★★</v>
      </c>
    </row>
    <row r="271" spans="1:8" x14ac:dyDescent="0.25">
      <c r="A271" s="4" t="s">
        <v>741</v>
      </c>
      <c r="B271" s="4" t="s">
        <v>29</v>
      </c>
      <c r="C271" s="4" t="s">
        <v>116</v>
      </c>
      <c r="D271" s="4" t="s">
        <v>43</v>
      </c>
      <c r="E271" s="4">
        <v>19</v>
      </c>
      <c r="F271" s="4">
        <v>0</v>
      </c>
      <c r="G271" s="6">
        <f t="shared" si="8"/>
        <v>1</v>
      </c>
      <c r="H271" s="3" t="str">
        <f t="shared" si="9"/>
        <v>★</v>
      </c>
    </row>
    <row r="272" spans="1:8" x14ac:dyDescent="0.25">
      <c r="A272" s="4" t="s">
        <v>742</v>
      </c>
      <c r="B272" s="4" t="s">
        <v>29</v>
      </c>
      <c r="C272" s="4" t="s">
        <v>471</v>
      </c>
      <c r="D272" s="4" t="s">
        <v>47</v>
      </c>
      <c r="E272" s="4">
        <v>35</v>
      </c>
      <c r="F272" s="4">
        <v>0</v>
      </c>
      <c r="G272" s="6">
        <f t="shared" si="8"/>
        <v>1</v>
      </c>
      <c r="H272" s="3" t="str">
        <f t="shared" si="9"/>
        <v>★</v>
      </c>
    </row>
    <row r="273" spans="1:8" x14ac:dyDescent="0.25">
      <c r="A273" s="4" t="s">
        <v>507</v>
      </c>
      <c r="B273" s="4" t="s">
        <v>508</v>
      </c>
      <c r="C273" s="4" t="s">
        <v>476</v>
      </c>
      <c r="D273" s="4" t="s">
        <v>81</v>
      </c>
      <c r="E273" s="4">
        <v>25</v>
      </c>
      <c r="F273" s="4">
        <v>1.37</v>
      </c>
      <c r="G273" s="6">
        <f t="shared" si="8"/>
        <v>4</v>
      </c>
      <c r="H273" s="3" t="str">
        <f t="shared" si="9"/>
        <v>★★★★</v>
      </c>
    </row>
    <row r="274" spans="1:8" x14ac:dyDescent="0.25">
      <c r="A274" s="4" t="s">
        <v>743</v>
      </c>
      <c r="B274" s="4" t="s">
        <v>29</v>
      </c>
      <c r="C274" s="4" t="s">
        <v>116</v>
      </c>
      <c r="D274" s="4" t="s">
        <v>47</v>
      </c>
      <c r="E274" s="4">
        <v>24</v>
      </c>
      <c r="F274" s="4">
        <v>0</v>
      </c>
      <c r="G274" s="6">
        <f t="shared" si="8"/>
        <v>1</v>
      </c>
      <c r="H274" s="3" t="str">
        <f t="shared" si="9"/>
        <v>★</v>
      </c>
    </row>
    <row r="275" spans="1:8" x14ac:dyDescent="0.25">
      <c r="A275" s="4" t="s">
        <v>257</v>
      </c>
      <c r="B275" s="4" t="s">
        <v>29</v>
      </c>
      <c r="C275" s="4" t="s">
        <v>304</v>
      </c>
      <c r="D275" s="4" t="s">
        <v>15</v>
      </c>
      <c r="E275" s="4">
        <v>31</v>
      </c>
      <c r="F275" s="4">
        <v>2.4300000000000002</v>
      </c>
      <c r="G275" s="6">
        <f t="shared" si="8"/>
        <v>5</v>
      </c>
      <c r="H275" s="3" t="str">
        <f t="shared" si="9"/>
        <v>★★★★★</v>
      </c>
    </row>
    <row r="276" spans="1:8" x14ac:dyDescent="0.25">
      <c r="A276" s="4" t="s">
        <v>258</v>
      </c>
      <c r="B276" s="4" t="s">
        <v>55</v>
      </c>
      <c r="C276" s="4" t="s">
        <v>471</v>
      </c>
      <c r="D276" s="4" t="s">
        <v>35</v>
      </c>
      <c r="E276" s="4">
        <v>29</v>
      </c>
      <c r="F276" s="4">
        <v>0</v>
      </c>
      <c r="G276" s="6">
        <f t="shared" si="8"/>
        <v>1</v>
      </c>
      <c r="H276" s="3" t="str">
        <f t="shared" si="9"/>
        <v>★</v>
      </c>
    </row>
    <row r="277" spans="1:8" x14ac:dyDescent="0.25">
      <c r="A277" s="4" t="s">
        <v>51</v>
      </c>
      <c r="B277" s="4" t="s">
        <v>52</v>
      </c>
      <c r="C277" s="4" t="s">
        <v>109</v>
      </c>
      <c r="D277" s="4" t="s">
        <v>53</v>
      </c>
      <c r="E277" s="4">
        <v>34</v>
      </c>
      <c r="F277" s="4">
        <v>0</v>
      </c>
      <c r="G277" s="6">
        <f t="shared" si="8"/>
        <v>1</v>
      </c>
      <c r="H277" s="3" t="str">
        <f t="shared" si="9"/>
        <v>★</v>
      </c>
    </row>
    <row r="278" spans="1:8" x14ac:dyDescent="0.25">
      <c r="A278" s="4" t="s">
        <v>259</v>
      </c>
      <c r="B278" s="4" t="s">
        <v>29</v>
      </c>
      <c r="C278" s="4" t="s">
        <v>109</v>
      </c>
      <c r="D278" s="4" t="s">
        <v>43</v>
      </c>
      <c r="E278" s="4">
        <v>24</v>
      </c>
      <c r="F278" s="4">
        <v>1.26</v>
      </c>
      <c r="G278" s="6">
        <f t="shared" si="8"/>
        <v>3</v>
      </c>
      <c r="H278" s="3" t="str">
        <f t="shared" si="9"/>
        <v>★★★</v>
      </c>
    </row>
    <row r="279" spans="1:8" x14ac:dyDescent="0.25">
      <c r="A279" s="4" t="s">
        <v>509</v>
      </c>
      <c r="B279" s="4" t="s">
        <v>508</v>
      </c>
      <c r="C279" s="4" t="s">
        <v>116</v>
      </c>
      <c r="D279" s="4" t="s">
        <v>65</v>
      </c>
      <c r="E279" s="4">
        <v>29</v>
      </c>
      <c r="F279" s="4">
        <v>1.94</v>
      </c>
      <c r="G279" s="6">
        <f t="shared" si="8"/>
        <v>5</v>
      </c>
      <c r="H279" s="3" t="str">
        <f t="shared" si="9"/>
        <v>★★★★★</v>
      </c>
    </row>
    <row r="280" spans="1:8" x14ac:dyDescent="0.25">
      <c r="A280" s="4" t="s">
        <v>260</v>
      </c>
      <c r="B280" s="4" t="s">
        <v>60</v>
      </c>
      <c r="C280" s="4" t="s">
        <v>116</v>
      </c>
      <c r="D280" s="4" t="s">
        <v>81</v>
      </c>
      <c r="E280" s="4">
        <v>19</v>
      </c>
      <c r="F280" s="4">
        <v>0.75</v>
      </c>
      <c r="G280" s="6">
        <f t="shared" si="8"/>
        <v>2</v>
      </c>
      <c r="H280" s="3" t="str">
        <f t="shared" si="9"/>
        <v>★★</v>
      </c>
    </row>
    <row r="281" spans="1:8" x14ac:dyDescent="0.25">
      <c r="A281" s="4" t="s">
        <v>261</v>
      </c>
      <c r="B281" s="4" t="s">
        <v>67</v>
      </c>
      <c r="C281" s="4" t="s">
        <v>676</v>
      </c>
      <c r="D281" s="4" t="s">
        <v>65</v>
      </c>
      <c r="E281" s="4">
        <v>25</v>
      </c>
      <c r="F281" s="4">
        <v>1.94</v>
      </c>
      <c r="G281" s="6">
        <f t="shared" si="8"/>
        <v>5</v>
      </c>
      <c r="H281" s="3" t="str">
        <f t="shared" si="9"/>
        <v>★★★★★</v>
      </c>
    </row>
    <row r="282" spans="1:8" x14ac:dyDescent="0.25">
      <c r="A282" s="4" t="s">
        <v>262</v>
      </c>
      <c r="B282" s="4" t="s">
        <v>29</v>
      </c>
      <c r="C282" s="4" t="s">
        <v>109</v>
      </c>
      <c r="D282" s="4" t="s">
        <v>63</v>
      </c>
      <c r="E282" s="4">
        <v>25</v>
      </c>
      <c r="F282" s="4">
        <v>2.0699999999999998</v>
      </c>
      <c r="G282" s="6">
        <f t="shared" si="8"/>
        <v>5</v>
      </c>
      <c r="H282" s="3" t="str">
        <f t="shared" si="9"/>
        <v>★★★★★</v>
      </c>
    </row>
    <row r="283" spans="1:8" x14ac:dyDescent="0.25">
      <c r="A283" s="4" t="s">
        <v>263</v>
      </c>
      <c r="B283" s="4" t="s">
        <v>29</v>
      </c>
      <c r="C283" s="4" t="s">
        <v>109</v>
      </c>
      <c r="D283" s="4" t="s">
        <v>27</v>
      </c>
      <c r="E283" s="4">
        <v>24</v>
      </c>
      <c r="F283" s="4">
        <v>1.08</v>
      </c>
      <c r="G283" s="6">
        <f t="shared" si="8"/>
        <v>3</v>
      </c>
      <c r="H283" s="3" t="str">
        <f t="shared" si="9"/>
        <v>★★★</v>
      </c>
    </row>
    <row r="284" spans="1:8" x14ac:dyDescent="0.25">
      <c r="A284" s="4" t="s">
        <v>744</v>
      </c>
      <c r="B284" s="4" t="s">
        <v>55</v>
      </c>
      <c r="C284" s="4" t="s">
        <v>476</v>
      </c>
      <c r="D284" s="4" t="s">
        <v>69</v>
      </c>
      <c r="E284" s="4">
        <v>30</v>
      </c>
      <c r="F284" s="4">
        <v>0</v>
      </c>
      <c r="G284" s="6">
        <f t="shared" si="8"/>
        <v>1</v>
      </c>
      <c r="H284" s="3" t="str">
        <f t="shared" si="9"/>
        <v>★</v>
      </c>
    </row>
    <row r="285" spans="1:8" x14ac:dyDescent="0.25">
      <c r="A285" s="4" t="s">
        <v>510</v>
      </c>
      <c r="B285" s="4" t="s">
        <v>29</v>
      </c>
      <c r="C285" s="4" t="s">
        <v>109</v>
      </c>
      <c r="D285" s="4" t="s">
        <v>21</v>
      </c>
      <c r="E285" s="4">
        <v>20</v>
      </c>
      <c r="F285" s="4">
        <v>1.93</v>
      </c>
      <c r="G285" s="6">
        <f t="shared" si="8"/>
        <v>5</v>
      </c>
      <c r="H285" s="3" t="str">
        <f t="shared" si="9"/>
        <v>★★★★★</v>
      </c>
    </row>
    <row r="286" spans="1:8" x14ac:dyDescent="0.25">
      <c r="A286" s="4" t="s">
        <v>264</v>
      </c>
      <c r="B286" s="4" t="s">
        <v>29</v>
      </c>
      <c r="C286" s="4" t="s">
        <v>109</v>
      </c>
      <c r="D286" s="4" t="s">
        <v>30</v>
      </c>
      <c r="E286" s="4">
        <v>26</v>
      </c>
      <c r="F286" s="4">
        <v>1.56</v>
      </c>
      <c r="G286" s="6">
        <f t="shared" si="8"/>
        <v>4</v>
      </c>
      <c r="H286" s="3" t="str">
        <f t="shared" si="9"/>
        <v>★★★★</v>
      </c>
    </row>
    <row r="287" spans="1:8" x14ac:dyDescent="0.25">
      <c r="A287" s="4" t="s">
        <v>745</v>
      </c>
      <c r="B287" s="4" t="s">
        <v>29</v>
      </c>
      <c r="C287" s="4" t="s">
        <v>676</v>
      </c>
      <c r="D287" s="4" t="s">
        <v>63</v>
      </c>
      <c r="E287" s="4">
        <v>17</v>
      </c>
      <c r="F287" s="4">
        <v>0</v>
      </c>
      <c r="G287" s="6">
        <f t="shared" si="8"/>
        <v>1</v>
      </c>
      <c r="H287" s="3" t="str">
        <f t="shared" si="9"/>
        <v>★</v>
      </c>
    </row>
    <row r="288" spans="1:8" x14ac:dyDescent="0.25">
      <c r="A288" s="4" t="s">
        <v>511</v>
      </c>
      <c r="B288" s="4" t="s">
        <v>55</v>
      </c>
      <c r="C288" s="4" t="s">
        <v>471</v>
      </c>
      <c r="D288" s="4" t="s">
        <v>50</v>
      </c>
      <c r="E288" s="4">
        <v>20</v>
      </c>
      <c r="F288" s="4">
        <v>0.76</v>
      </c>
      <c r="G288" s="6">
        <f t="shared" si="8"/>
        <v>2</v>
      </c>
      <c r="H288" s="3" t="str">
        <f t="shared" si="9"/>
        <v>★★</v>
      </c>
    </row>
    <row r="289" spans="1:8" x14ac:dyDescent="0.25">
      <c r="A289" s="4" t="s">
        <v>615</v>
      </c>
      <c r="B289" s="4" t="s">
        <v>219</v>
      </c>
      <c r="C289" s="4" t="s">
        <v>584</v>
      </c>
      <c r="D289" s="4" t="s">
        <v>87</v>
      </c>
      <c r="E289" s="4">
        <v>24</v>
      </c>
      <c r="F289" s="4">
        <v>1.1200000000000001</v>
      </c>
      <c r="G289" s="6">
        <f t="shared" si="8"/>
        <v>3</v>
      </c>
      <c r="H289" s="3" t="str">
        <f t="shared" si="9"/>
        <v>★★★</v>
      </c>
    </row>
    <row r="290" spans="1:8" x14ac:dyDescent="0.25">
      <c r="A290" s="4" t="s">
        <v>616</v>
      </c>
      <c r="B290" s="4" t="s">
        <v>29</v>
      </c>
      <c r="C290" s="4" t="s">
        <v>228</v>
      </c>
      <c r="D290" s="4" t="s">
        <v>69</v>
      </c>
      <c r="E290" s="4">
        <v>29</v>
      </c>
      <c r="F290" s="4">
        <v>1.23</v>
      </c>
      <c r="G290" s="6">
        <f t="shared" si="8"/>
        <v>3</v>
      </c>
      <c r="H290" s="3" t="str">
        <f t="shared" si="9"/>
        <v>★★★</v>
      </c>
    </row>
    <row r="291" spans="1:8" x14ac:dyDescent="0.25">
      <c r="A291" s="4" t="s">
        <v>265</v>
      </c>
      <c r="B291" s="4" t="s">
        <v>29</v>
      </c>
      <c r="C291" s="4" t="s">
        <v>109</v>
      </c>
      <c r="D291" s="4" t="s">
        <v>69</v>
      </c>
      <c r="E291" s="4">
        <v>18</v>
      </c>
      <c r="F291" s="4">
        <v>2.33</v>
      </c>
      <c r="G291" s="6">
        <f t="shared" si="8"/>
        <v>5</v>
      </c>
      <c r="H291" s="3" t="str">
        <f t="shared" si="9"/>
        <v>★★★★★</v>
      </c>
    </row>
    <row r="292" spans="1:8" x14ac:dyDescent="0.25">
      <c r="A292" s="4" t="s">
        <v>266</v>
      </c>
      <c r="B292" s="4" t="s">
        <v>219</v>
      </c>
      <c r="C292" s="4" t="s">
        <v>584</v>
      </c>
      <c r="D292" s="4" t="s">
        <v>27</v>
      </c>
      <c r="E292" s="4">
        <v>25</v>
      </c>
      <c r="F292" s="4">
        <v>1.32</v>
      </c>
      <c r="G292" s="6">
        <f t="shared" si="8"/>
        <v>4</v>
      </c>
      <c r="H292" s="3" t="str">
        <f t="shared" si="9"/>
        <v>★★★★</v>
      </c>
    </row>
    <row r="293" spans="1:8" x14ac:dyDescent="0.25">
      <c r="A293" s="4" t="s">
        <v>746</v>
      </c>
      <c r="B293" s="4" t="s">
        <v>747</v>
      </c>
      <c r="C293" s="4" t="s">
        <v>116</v>
      </c>
      <c r="D293" s="4" t="s">
        <v>63</v>
      </c>
      <c r="E293" s="4">
        <v>19</v>
      </c>
      <c r="F293" s="4">
        <v>0</v>
      </c>
      <c r="G293" s="6">
        <f t="shared" si="8"/>
        <v>1</v>
      </c>
      <c r="H293" s="3" t="str">
        <f t="shared" si="9"/>
        <v>★</v>
      </c>
    </row>
    <row r="294" spans="1:8" x14ac:dyDescent="0.25">
      <c r="A294" s="4" t="s">
        <v>748</v>
      </c>
      <c r="B294" s="4" t="s">
        <v>402</v>
      </c>
      <c r="C294" s="4" t="s">
        <v>476</v>
      </c>
      <c r="D294" s="4" t="s">
        <v>87</v>
      </c>
      <c r="E294" s="4">
        <v>36</v>
      </c>
      <c r="F294" s="4">
        <v>0</v>
      </c>
      <c r="G294" s="6">
        <f t="shared" si="8"/>
        <v>1</v>
      </c>
      <c r="H294" s="3" t="str">
        <f t="shared" si="9"/>
        <v>★</v>
      </c>
    </row>
    <row r="295" spans="1:8" x14ac:dyDescent="0.25">
      <c r="A295" s="4" t="s">
        <v>512</v>
      </c>
      <c r="B295" s="4" t="s">
        <v>52</v>
      </c>
      <c r="C295" s="4" t="s">
        <v>676</v>
      </c>
      <c r="D295" s="4" t="s">
        <v>58</v>
      </c>
      <c r="E295" s="4">
        <v>23</v>
      </c>
      <c r="F295" s="4">
        <v>1</v>
      </c>
      <c r="G295" s="6">
        <f t="shared" si="8"/>
        <v>3</v>
      </c>
      <c r="H295" s="3" t="str">
        <f t="shared" si="9"/>
        <v>★★★</v>
      </c>
    </row>
    <row r="296" spans="1:8" x14ac:dyDescent="0.25">
      <c r="A296" s="4" t="s">
        <v>512</v>
      </c>
      <c r="B296" s="4" t="s">
        <v>52</v>
      </c>
      <c r="C296" s="4" t="s">
        <v>116</v>
      </c>
      <c r="D296" s="4" t="s">
        <v>47</v>
      </c>
      <c r="E296" s="4">
        <v>23</v>
      </c>
      <c r="F296" s="4">
        <v>3</v>
      </c>
      <c r="G296" s="6">
        <f t="shared" si="8"/>
        <v>5</v>
      </c>
      <c r="H296" s="3" t="str">
        <f t="shared" si="9"/>
        <v>★★★★★</v>
      </c>
    </row>
    <row r="297" spans="1:8" x14ac:dyDescent="0.25">
      <c r="A297" s="4" t="s">
        <v>267</v>
      </c>
      <c r="B297" s="4" t="s">
        <v>29</v>
      </c>
      <c r="C297" s="4" t="s">
        <v>109</v>
      </c>
      <c r="D297" s="4" t="s">
        <v>21</v>
      </c>
      <c r="E297" s="4">
        <v>21</v>
      </c>
      <c r="F297" s="4">
        <v>1.73</v>
      </c>
      <c r="G297" s="6">
        <f t="shared" si="8"/>
        <v>4</v>
      </c>
      <c r="H297" s="3" t="str">
        <f t="shared" si="9"/>
        <v>★★★★</v>
      </c>
    </row>
    <row r="298" spans="1:8" x14ac:dyDescent="0.25">
      <c r="A298" s="4" t="s">
        <v>268</v>
      </c>
      <c r="B298" s="4" t="s">
        <v>62</v>
      </c>
      <c r="C298" s="4" t="s">
        <v>116</v>
      </c>
      <c r="D298" s="4" t="s">
        <v>43</v>
      </c>
      <c r="E298" s="4">
        <v>23</v>
      </c>
      <c r="F298" s="4">
        <v>1.29</v>
      </c>
      <c r="G298" s="6">
        <f t="shared" si="8"/>
        <v>4</v>
      </c>
      <c r="H298" s="3" t="str">
        <f t="shared" si="9"/>
        <v>★★★★</v>
      </c>
    </row>
    <row r="299" spans="1:8" x14ac:dyDescent="0.25">
      <c r="A299" s="4" t="s">
        <v>269</v>
      </c>
      <c r="B299" s="4" t="s">
        <v>75</v>
      </c>
      <c r="C299" s="4" t="s">
        <v>584</v>
      </c>
      <c r="D299" s="4" t="s">
        <v>43</v>
      </c>
      <c r="E299" s="4">
        <v>30</v>
      </c>
      <c r="F299" s="4">
        <v>1.1599999999999999</v>
      </c>
      <c r="G299" s="6">
        <f t="shared" si="8"/>
        <v>3</v>
      </c>
      <c r="H299" s="3" t="str">
        <f t="shared" si="9"/>
        <v>★★★</v>
      </c>
    </row>
    <row r="300" spans="1:8" x14ac:dyDescent="0.25">
      <c r="A300" s="4" t="s">
        <v>749</v>
      </c>
      <c r="B300" s="4" t="s">
        <v>287</v>
      </c>
      <c r="C300" s="4" t="s">
        <v>109</v>
      </c>
      <c r="D300" s="4" t="s">
        <v>43</v>
      </c>
      <c r="E300" s="4">
        <v>29</v>
      </c>
      <c r="F300" s="4">
        <v>0</v>
      </c>
      <c r="G300" s="6">
        <f t="shared" si="8"/>
        <v>1</v>
      </c>
      <c r="H300" s="3" t="str">
        <f t="shared" si="9"/>
        <v>★</v>
      </c>
    </row>
    <row r="301" spans="1:8" x14ac:dyDescent="0.25">
      <c r="A301" s="4" t="s">
        <v>750</v>
      </c>
      <c r="B301" s="4" t="s">
        <v>29</v>
      </c>
      <c r="C301" s="4" t="s">
        <v>471</v>
      </c>
      <c r="D301" s="4" t="s">
        <v>58</v>
      </c>
      <c r="E301" s="4">
        <v>19</v>
      </c>
      <c r="F301" s="4">
        <v>0</v>
      </c>
      <c r="G301" s="6">
        <f t="shared" si="8"/>
        <v>1</v>
      </c>
      <c r="H301" s="3" t="str">
        <f t="shared" si="9"/>
        <v>★</v>
      </c>
    </row>
    <row r="302" spans="1:8" x14ac:dyDescent="0.25">
      <c r="A302" s="4" t="s">
        <v>270</v>
      </c>
      <c r="B302" s="4" t="s">
        <v>67</v>
      </c>
      <c r="C302" s="4" t="s">
        <v>471</v>
      </c>
      <c r="D302" s="4" t="s">
        <v>43</v>
      </c>
      <c r="E302" s="4">
        <v>25</v>
      </c>
      <c r="F302" s="4">
        <v>1</v>
      </c>
      <c r="G302" s="6">
        <f t="shared" si="8"/>
        <v>3</v>
      </c>
      <c r="H302" s="3" t="str">
        <f t="shared" si="9"/>
        <v>★★★</v>
      </c>
    </row>
    <row r="303" spans="1:8" x14ac:dyDescent="0.25">
      <c r="A303" s="4" t="s">
        <v>617</v>
      </c>
      <c r="B303" s="4" t="s">
        <v>14</v>
      </c>
      <c r="C303" s="4" t="s">
        <v>109</v>
      </c>
      <c r="D303" s="4" t="s">
        <v>39</v>
      </c>
      <c r="E303" s="4">
        <v>24</v>
      </c>
      <c r="F303" s="4">
        <v>2.4300000000000002</v>
      </c>
      <c r="G303" s="6">
        <f t="shared" si="8"/>
        <v>5</v>
      </c>
      <c r="H303" s="3" t="str">
        <f t="shared" si="9"/>
        <v>★★★★★</v>
      </c>
    </row>
    <row r="304" spans="1:8" x14ac:dyDescent="0.25">
      <c r="A304" s="4" t="s">
        <v>618</v>
      </c>
      <c r="B304" s="4" t="s">
        <v>619</v>
      </c>
      <c r="C304" s="4" t="s">
        <v>584</v>
      </c>
      <c r="D304" s="4" t="s">
        <v>81</v>
      </c>
      <c r="E304" s="4">
        <v>30</v>
      </c>
      <c r="F304" s="4">
        <v>1.24</v>
      </c>
      <c r="G304" s="6">
        <f t="shared" si="8"/>
        <v>3</v>
      </c>
      <c r="H304" s="3" t="str">
        <f t="shared" si="9"/>
        <v>★★★</v>
      </c>
    </row>
    <row r="305" spans="1:8" x14ac:dyDescent="0.25">
      <c r="A305" s="4" t="s">
        <v>513</v>
      </c>
      <c r="B305" s="4" t="s">
        <v>14</v>
      </c>
      <c r="C305" s="4" t="s">
        <v>116</v>
      </c>
      <c r="D305" s="4" t="s">
        <v>24</v>
      </c>
      <c r="E305" s="4">
        <v>19</v>
      </c>
      <c r="F305" s="4">
        <v>0.46</v>
      </c>
      <c r="G305" s="6">
        <f t="shared" si="8"/>
        <v>2</v>
      </c>
      <c r="H305" s="3" t="str">
        <f t="shared" si="9"/>
        <v>★★</v>
      </c>
    </row>
    <row r="306" spans="1:8" x14ac:dyDescent="0.25">
      <c r="A306" s="4" t="s">
        <v>514</v>
      </c>
      <c r="B306" s="4" t="s">
        <v>14</v>
      </c>
      <c r="C306" s="4" t="s">
        <v>584</v>
      </c>
      <c r="D306" s="4" t="s">
        <v>35</v>
      </c>
      <c r="E306" s="4">
        <v>24</v>
      </c>
      <c r="F306" s="4">
        <v>1.31</v>
      </c>
      <c r="G306" s="6">
        <f t="shared" si="8"/>
        <v>4</v>
      </c>
      <c r="H306" s="3" t="str">
        <f t="shared" si="9"/>
        <v>★★★★</v>
      </c>
    </row>
    <row r="307" spans="1:8" x14ac:dyDescent="0.25">
      <c r="A307" s="4" t="s">
        <v>751</v>
      </c>
      <c r="B307" s="4" t="s">
        <v>29</v>
      </c>
      <c r="C307" s="4" t="s">
        <v>109</v>
      </c>
      <c r="D307" s="4" t="s">
        <v>81</v>
      </c>
      <c r="E307" s="4">
        <v>21</v>
      </c>
      <c r="F307" s="4">
        <v>0</v>
      </c>
      <c r="G307" s="6">
        <f t="shared" si="8"/>
        <v>1</v>
      </c>
      <c r="H307" s="3" t="str">
        <f t="shared" si="9"/>
        <v>★</v>
      </c>
    </row>
    <row r="308" spans="1:8" x14ac:dyDescent="0.25">
      <c r="A308" s="4" t="s">
        <v>271</v>
      </c>
      <c r="B308" s="4" t="s">
        <v>29</v>
      </c>
      <c r="C308" s="4" t="s">
        <v>109</v>
      </c>
      <c r="D308" s="4" t="s">
        <v>18</v>
      </c>
      <c r="E308" s="4">
        <v>21</v>
      </c>
      <c r="F308" s="4">
        <v>1.7</v>
      </c>
      <c r="G308" s="6">
        <f t="shared" si="8"/>
        <v>4</v>
      </c>
      <c r="H308" s="3" t="str">
        <f t="shared" si="9"/>
        <v>★★★★</v>
      </c>
    </row>
    <row r="309" spans="1:8" x14ac:dyDescent="0.25">
      <c r="A309" s="4" t="s">
        <v>272</v>
      </c>
      <c r="B309" s="4" t="s">
        <v>29</v>
      </c>
      <c r="C309" s="4" t="s">
        <v>304</v>
      </c>
      <c r="D309" s="4" t="s">
        <v>15</v>
      </c>
      <c r="E309" s="4">
        <v>20</v>
      </c>
      <c r="F309" s="4">
        <v>2.4700000000000002</v>
      </c>
      <c r="G309" s="6">
        <f t="shared" si="8"/>
        <v>5</v>
      </c>
      <c r="H309" s="3" t="str">
        <f t="shared" si="9"/>
        <v>★★★★★</v>
      </c>
    </row>
    <row r="310" spans="1:8" x14ac:dyDescent="0.25">
      <c r="A310" s="4" t="s">
        <v>273</v>
      </c>
      <c r="B310" s="4" t="s">
        <v>29</v>
      </c>
      <c r="C310" s="4" t="s">
        <v>109</v>
      </c>
      <c r="D310" s="4" t="s">
        <v>47</v>
      </c>
      <c r="E310" s="4">
        <v>29</v>
      </c>
      <c r="F310" s="4">
        <v>1</v>
      </c>
      <c r="G310" s="6">
        <f t="shared" si="8"/>
        <v>3</v>
      </c>
      <c r="H310" s="3" t="str">
        <f t="shared" si="9"/>
        <v>★★★</v>
      </c>
    </row>
    <row r="311" spans="1:8" x14ac:dyDescent="0.25">
      <c r="A311" s="4" t="s">
        <v>752</v>
      </c>
      <c r="B311" s="4" t="s">
        <v>83</v>
      </c>
      <c r="C311" s="4" t="s">
        <v>584</v>
      </c>
      <c r="D311" s="4" t="s">
        <v>81</v>
      </c>
      <c r="E311" s="4">
        <v>22</v>
      </c>
      <c r="F311" s="4">
        <v>0</v>
      </c>
      <c r="G311" s="6">
        <f t="shared" si="8"/>
        <v>1</v>
      </c>
      <c r="H311" s="3" t="str">
        <f t="shared" si="9"/>
        <v>★</v>
      </c>
    </row>
    <row r="312" spans="1:8" x14ac:dyDescent="0.25">
      <c r="A312" s="4" t="s">
        <v>274</v>
      </c>
      <c r="B312" s="4" t="s">
        <v>67</v>
      </c>
      <c r="C312" s="4" t="s">
        <v>476</v>
      </c>
      <c r="D312" s="4" t="s">
        <v>43</v>
      </c>
      <c r="E312" s="4">
        <v>31</v>
      </c>
      <c r="F312" s="4">
        <v>1.25</v>
      </c>
      <c r="G312" s="6">
        <f t="shared" si="8"/>
        <v>3</v>
      </c>
      <c r="H312" s="3" t="str">
        <f t="shared" si="9"/>
        <v>★★★</v>
      </c>
    </row>
    <row r="313" spans="1:8" x14ac:dyDescent="0.25">
      <c r="A313" s="4" t="s">
        <v>275</v>
      </c>
      <c r="B313" s="4" t="s">
        <v>276</v>
      </c>
      <c r="C313" s="4" t="s">
        <v>676</v>
      </c>
      <c r="D313" s="4" t="s">
        <v>21</v>
      </c>
      <c r="E313" s="4">
        <v>29</v>
      </c>
      <c r="F313" s="4">
        <v>2.0699999999999998</v>
      </c>
      <c r="G313" s="6">
        <f t="shared" si="8"/>
        <v>5</v>
      </c>
      <c r="H313" s="3" t="str">
        <f t="shared" si="9"/>
        <v>★★★★★</v>
      </c>
    </row>
    <row r="314" spans="1:8" x14ac:dyDescent="0.25">
      <c r="A314" s="4" t="s">
        <v>620</v>
      </c>
      <c r="B314" s="4" t="s">
        <v>83</v>
      </c>
      <c r="C314" s="4" t="s">
        <v>109</v>
      </c>
      <c r="D314" s="4" t="s">
        <v>15</v>
      </c>
      <c r="E314" s="4">
        <v>24</v>
      </c>
      <c r="F314" s="4">
        <v>2.37</v>
      </c>
      <c r="G314" s="6">
        <f t="shared" si="8"/>
        <v>5</v>
      </c>
      <c r="H314" s="3" t="str">
        <f t="shared" si="9"/>
        <v>★★★★★</v>
      </c>
    </row>
    <row r="315" spans="1:8" x14ac:dyDescent="0.25">
      <c r="A315" s="4" t="s">
        <v>277</v>
      </c>
      <c r="B315" s="4" t="s">
        <v>29</v>
      </c>
      <c r="C315" s="4" t="s">
        <v>304</v>
      </c>
      <c r="D315" s="4" t="s">
        <v>87</v>
      </c>
      <c r="E315" s="4">
        <v>23</v>
      </c>
      <c r="F315" s="4">
        <v>1.46</v>
      </c>
      <c r="G315" s="6">
        <f t="shared" si="8"/>
        <v>4</v>
      </c>
      <c r="H315" s="3" t="str">
        <f t="shared" si="9"/>
        <v>★★★★</v>
      </c>
    </row>
    <row r="316" spans="1:8" x14ac:dyDescent="0.25">
      <c r="A316" s="4" t="s">
        <v>278</v>
      </c>
      <c r="B316" s="4" t="s">
        <v>279</v>
      </c>
      <c r="C316" s="4" t="s">
        <v>116</v>
      </c>
      <c r="D316" s="4" t="s">
        <v>50</v>
      </c>
      <c r="E316" s="4">
        <v>21</v>
      </c>
      <c r="F316" s="4">
        <v>0.18</v>
      </c>
      <c r="G316" s="6">
        <f t="shared" si="8"/>
        <v>1</v>
      </c>
      <c r="H316" s="3" t="str">
        <f t="shared" si="9"/>
        <v>★</v>
      </c>
    </row>
    <row r="317" spans="1:8" x14ac:dyDescent="0.25">
      <c r="A317" s="4" t="s">
        <v>280</v>
      </c>
      <c r="B317" s="4" t="s">
        <v>162</v>
      </c>
      <c r="C317" s="4" t="s">
        <v>584</v>
      </c>
      <c r="D317" s="4" t="s">
        <v>24</v>
      </c>
      <c r="E317" s="4">
        <v>30</v>
      </c>
      <c r="F317" s="4">
        <v>0.69</v>
      </c>
      <c r="G317" s="6">
        <f t="shared" si="8"/>
        <v>2</v>
      </c>
      <c r="H317" s="3" t="str">
        <f t="shared" si="9"/>
        <v>★★</v>
      </c>
    </row>
    <row r="318" spans="1:8" x14ac:dyDescent="0.25">
      <c r="A318" s="4" t="s">
        <v>621</v>
      </c>
      <c r="B318" s="4" t="s">
        <v>219</v>
      </c>
      <c r="C318" s="4" t="s">
        <v>116</v>
      </c>
      <c r="D318" s="4" t="s">
        <v>24</v>
      </c>
      <c r="E318" s="4">
        <v>23</v>
      </c>
      <c r="F318" s="4">
        <v>0.25</v>
      </c>
      <c r="G318" s="6">
        <f t="shared" si="8"/>
        <v>2</v>
      </c>
      <c r="H318" s="3" t="str">
        <f t="shared" si="9"/>
        <v>★★</v>
      </c>
    </row>
    <row r="319" spans="1:8" x14ac:dyDescent="0.25">
      <c r="A319" s="4" t="s">
        <v>753</v>
      </c>
      <c r="B319" s="4" t="s">
        <v>29</v>
      </c>
      <c r="C319" s="4" t="s">
        <v>109</v>
      </c>
      <c r="D319" s="4" t="s">
        <v>50</v>
      </c>
      <c r="E319" s="4">
        <v>18</v>
      </c>
      <c r="F319" s="4">
        <v>0</v>
      </c>
      <c r="G319" s="6">
        <f t="shared" si="8"/>
        <v>1</v>
      </c>
      <c r="H319" s="3" t="str">
        <f t="shared" si="9"/>
        <v>★</v>
      </c>
    </row>
    <row r="320" spans="1:8" x14ac:dyDescent="0.25">
      <c r="A320" s="4" t="s">
        <v>281</v>
      </c>
      <c r="B320" s="4" t="s">
        <v>133</v>
      </c>
      <c r="C320" s="4" t="s">
        <v>584</v>
      </c>
      <c r="D320" s="4" t="s">
        <v>24</v>
      </c>
      <c r="E320" s="4">
        <v>27</v>
      </c>
      <c r="F320" s="4">
        <v>0.47</v>
      </c>
      <c r="G320" s="6">
        <f t="shared" si="8"/>
        <v>2</v>
      </c>
      <c r="H320" s="3" t="str">
        <f t="shared" si="9"/>
        <v>★★</v>
      </c>
    </row>
    <row r="321" spans="1:8" x14ac:dyDescent="0.25">
      <c r="A321" s="4" t="s">
        <v>622</v>
      </c>
      <c r="B321" s="4" t="s">
        <v>29</v>
      </c>
      <c r="C321" s="4" t="s">
        <v>584</v>
      </c>
      <c r="D321" s="4" t="s">
        <v>65</v>
      </c>
      <c r="E321" s="4">
        <v>28</v>
      </c>
      <c r="F321" s="4">
        <v>1.84</v>
      </c>
      <c r="G321" s="6">
        <f t="shared" si="8"/>
        <v>5</v>
      </c>
      <c r="H321" s="3" t="str">
        <f t="shared" si="9"/>
        <v>★★★★★</v>
      </c>
    </row>
    <row r="322" spans="1:8" x14ac:dyDescent="0.25">
      <c r="A322" s="4" t="s">
        <v>282</v>
      </c>
      <c r="B322" s="4" t="s">
        <v>17</v>
      </c>
      <c r="C322" s="4" t="s">
        <v>116</v>
      </c>
      <c r="D322" s="4" t="s">
        <v>21</v>
      </c>
      <c r="E322" s="4">
        <v>30</v>
      </c>
      <c r="F322" s="4">
        <v>1.92</v>
      </c>
      <c r="G322" s="6">
        <f t="shared" si="8"/>
        <v>5</v>
      </c>
      <c r="H322" s="3" t="str">
        <f t="shared" si="9"/>
        <v>★★★★★</v>
      </c>
    </row>
    <row r="323" spans="1:8" x14ac:dyDescent="0.25">
      <c r="A323" s="4" t="s">
        <v>754</v>
      </c>
      <c r="B323" s="4" t="s">
        <v>41</v>
      </c>
      <c r="C323" s="4" t="s">
        <v>471</v>
      </c>
      <c r="D323" s="4" t="s">
        <v>85</v>
      </c>
      <c r="E323" s="4">
        <v>20</v>
      </c>
      <c r="F323" s="4">
        <v>0</v>
      </c>
      <c r="G323" s="6">
        <f t="shared" ref="G323:G386" si="10">VLOOKUP(F323,$K$10:$M$15,3,1)</f>
        <v>1</v>
      </c>
      <c r="H323" s="3" t="str">
        <f t="shared" ref="H323:H386" si="11">_xlfn.IFS(G323=0,"☆",G323=0.5,"½", G323=1,"★",G323 =1.5,"★½", G323 =2.5,"★★½", G323=2,"★★", G323=3,"★★★", G323 =3.5,"★★★½",G323=4,"★★★★", G323 =4.5,"★★★★½", G323=5,"★★★★★")</f>
        <v>★</v>
      </c>
    </row>
    <row r="324" spans="1:8" x14ac:dyDescent="0.25">
      <c r="A324" s="4" t="s">
        <v>283</v>
      </c>
      <c r="B324" s="4" t="s">
        <v>284</v>
      </c>
      <c r="C324" s="4" t="s">
        <v>584</v>
      </c>
      <c r="D324" s="4" t="s">
        <v>24</v>
      </c>
      <c r="E324" s="4">
        <v>23</v>
      </c>
      <c r="F324" s="4">
        <v>0.23</v>
      </c>
      <c r="G324" s="6">
        <f t="shared" si="10"/>
        <v>1</v>
      </c>
      <c r="H324" s="3" t="str">
        <f t="shared" si="11"/>
        <v>★</v>
      </c>
    </row>
    <row r="325" spans="1:8" x14ac:dyDescent="0.25">
      <c r="A325" s="4" t="s">
        <v>623</v>
      </c>
      <c r="B325" s="4" t="s">
        <v>276</v>
      </c>
      <c r="C325" s="4" t="s">
        <v>584</v>
      </c>
      <c r="D325" s="4" t="s">
        <v>27</v>
      </c>
      <c r="E325" s="4">
        <v>21</v>
      </c>
      <c r="F325" s="4">
        <v>1</v>
      </c>
      <c r="G325" s="6">
        <f t="shared" si="10"/>
        <v>3</v>
      </c>
      <c r="H325" s="3" t="str">
        <f t="shared" si="11"/>
        <v>★★★</v>
      </c>
    </row>
    <row r="326" spans="1:8" x14ac:dyDescent="0.25">
      <c r="A326" s="4" t="s">
        <v>285</v>
      </c>
      <c r="B326" s="4" t="s">
        <v>29</v>
      </c>
      <c r="C326" s="4" t="s">
        <v>676</v>
      </c>
      <c r="D326" s="4" t="s">
        <v>27</v>
      </c>
      <c r="E326" s="4">
        <v>28</v>
      </c>
      <c r="F326" s="4">
        <v>1.0900000000000001</v>
      </c>
      <c r="G326" s="6">
        <f t="shared" si="10"/>
        <v>3</v>
      </c>
      <c r="H326" s="3" t="str">
        <f t="shared" si="11"/>
        <v>★★★</v>
      </c>
    </row>
    <row r="327" spans="1:8" x14ac:dyDescent="0.25">
      <c r="A327" s="4" t="s">
        <v>286</v>
      </c>
      <c r="B327" s="4" t="s">
        <v>287</v>
      </c>
      <c r="C327" s="4" t="s">
        <v>116</v>
      </c>
      <c r="D327" s="4" t="s">
        <v>15</v>
      </c>
      <c r="E327" s="4">
        <v>26</v>
      </c>
      <c r="F327" s="4">
        <v>2.4300000000000002</v>
      </c>
      <c r="G327" s="6">
        <f t="shared" si="10"/>
        <v>5</v>
      </c>
      <c r="H327" s="3" t="str">
        <f t="shared" si="11"/>
        <v>★★★★★</v>
      </c>
    </row>
    <row r="328" spans="1:8" x14ac:dyDescent="0.25">
      <c r="A328" s="4" t="s">
        <v>54</v>
      </c>
      <c r="B328" s="4" t="s">
        <v>55</v>
      </c>
      <c r="C328" s="4" t="s">
        <v>116</v>
      </c>
      <c r="D328" s="4" t="s">
        <v>15</v>
      </c>
      <c r="E328" s="4">
        <v>22</v>
      </c>
      <c r="F328" s="4">
        <v>2</v>
      </c>
      <c r="G328" s="6">
        <f t="shared" si="10"/>
        <v>5</v>
      </c>
      <c r="H328" s="3" t="str">
        <f t="shared" si="11"/>
        <v>★★★★★</v>
      </c>
    </row>
    <row r="329" spans="1:8" x14ac:dyDescent="0.25">
      <c r="A329" s="4" t="s">
        <v>755</v>
      </c>
      <c r="B329" s="4" t="s">
        <v>29</v>
      </c>
      <c r="C329" s="4" t="s">
        <v>116</v>
      </c>
      <c r="D329" s="4" t="s">
        <v>30</v>
      </c>
      <c r="E329" s="4">
        <v>31</v>
      </c>
      <c r="F329" s="4">
        <v>0</v>
      </c>
      <c r="G329" s="6">
        <f t="shared" si="10"/>
        <v>1</v>
      </c>
      <c r="H329" s="3" t="str">
        <f t="shared" si="11"/>
        <v>★</v>
      </c>
    </row>
    <row r="330" spans="1:8" x14ac:dyDescent="0.25">
      <c r="A330" s="4" t="s">
        <v>288</v>
      </c>
      <c r="B330" s="4" t="s">
        <v>14</v>
      </c>
      <c r="C330" s="4" t="s">
        <v>116</v>
      </c>
      <c r="D330" s="4" t="s">
        <v>21</v>
      </c>
      <c r="E330" s="4">
        <v>25</v>
      </c>
      <c r="F330" s="4">
        <v>3</v>
      </c>
      <c r="G330" s="6">
        <f t="shared" si="10"/>
        <v>5</v>
      </c>
      <c r="H330" s="3" t="str">
        <f t="shared" si="11"/>
        <v>★★★★★</v>
      </c>
    </row>
    <row r="331" spans="1:8" x14ac:dyDescent="0.25">
      <c r="A331" s="4" t="s">
        <v>756</v>
      </c>
      <c r="B331" s="4" t="s">
        <v>29</v>
      </c>
      <c r="C331" s="4" t="s">
        <v>116</v>
      </c>
      <c r="D331" s="4" t="s">
        <v>58</v>
      </c>
      <c r="E331" s="4">
        <v>18</v>
      </c>
      <c r="F331" s="4">
        <v>3</v>
      </c>
      <c r="G331" s="6">
        <f t="shared" si="10"/>
        <v>5</v>
      </c>
      <c r="H331" s="3" t="str">
        <f t="shared" si="11"/>
        <v>★★★★★</v>
      </c>
    </row>
    <row r="332" spans="1:8" x14ac:dyDescent="0.25">
      <c r="A332" s="4" t="s">
        <v>289</v>
      </c>
      <c r="B332" s="4" t="s">
        <v>29</v>
      </c>
      <c r="C332" s="4" t="s">
        <v>109</v>
      </c>
      <c r="D332" s="4" t="s">
        <v>27</v>
      </c>
      <c r="E332" s="4">
        <v>24</v>
      </c>
      <c r="F332" s="4">
        <v>0.67</v>
      </c>
      <c r="G332" s="6">
        <f t="shared" si="10"/>
        <v>2</v>
      </c>
      <c r="H332" s="3" t="str">
        <f t="shared" si="11"/>
        <v>★★</v>
      </c>
    </row>
    <row r="333" spans="1:8" x14ac:dyDescent="0.25">
      <c r="A333" s="4" t="s">
        <v>757</v>
      </c>
      <c r="B333" s="4" t="s">
        <v>29</v>
      </c>
      <c r="C333" s="4" t="s">
        <v>584</v>
      </c>
      <c r="D333" s="4" t="s">
        <v>69</v>
      </c>
      <c r="E333" s="4">
        <v>18</v>
      </c>
      <c r="F333" s="4">
        <v>0</v>
      </c>
      <c r="G333" s="6">
        <f t="shared" si="10"/>
        <v>1</v>
      </c>
      <c r="H333" s="3" t="str">
        <f t="shared" si="11"/>
        <v>★</v>
      </c>
    </row>
    <row r="334" spans="1:8" x14ac:dyDescent="0.25">
      <c r="A334" s="4" t="s">
        <v>290</v>
      </c>
      <c r="B334" s="4" t="s">
        <v>29</v>
      </c>
      <c r="C334" s="4" t="s">
        <v>109</v>
      </c>
      <c r="D334" s="4" t="s">
        <v>81</v>
      </c>
      <c r="E334" s="4">
        <v>24</v>
      </c>
      <c r="F334" s="4">
        <v>1.53</v>
      </c>
      <c r="G334" s="6">
        <f t="shared" si="10"/>
        <v>4</v>
      </c>
      <c r="H334" s="3" t="str">
        <f t="shared" si="11"/>
        <v>★★★★</v>
      </c>
    </row>
    <row r="335" spans="1:8" x14ac:dyDescent="0.25">
      <c r="A335" s="4" t="s">
        <v>624</v>
      </c>
      <c r="B335" s="4" t="s">
        <v>57</v>
      </c>
      <c r="C335" s="4" t="s">
        <v>676</v>
      </c>
      <c r="D335" s="4" t="s">
        <v>24</v>
      </c>
      <c r="E335" s="4">
        <v>29</v>
      </c>
      <c r="F335" s="4">
        <v>0.59</v>
      </c>
      <c r="G335" s="6">
        <f t="shared" si="10"/>
        <v>2</v>
      </c>
      <c r="H335" s="3" t="str">
        <f t="shared" si="11"/>
        <v>★★</v>
      </c>
    </row>
    <row r="336" spans="1:8" x14ac:dyDescent="0.25">
      <c r="A336" s="4" t="s">
        <v>758</v>
      </c>
      <c r="B336" s="4" t="s">
        <v>29</v>
      </c>
      <c r="C336" s="4" t="s">
        <v>116</v>
      </c>
      <c r="D336" s="4" t="s">
        <v>63</v>
      </c>
      <c r="E336" s="4">
        <v>18</v>
      </c>
      <c r="F336" s="4">
        <v>0</v>
      </c>
      <c r="G336" s="6">
        <f t="shared" si="10"/>
        <v>1</v>
      </c>
      <c r="H336" s="3" t="str">
        <f t="shared" si="11"/>
        <v>★</v>
      </c>
    </row>
    <row r="337" spans="1:8" x14ac:dyDescent="0.25">
      <c r="A337" s="4" t="s">
        <v>56</v>
      </c>
      <c r="B337" s="4" t="s">
        <v>57</v>
      </c>
      <c r="C337" s="4" t="s">
        <v>676</v>
      </c>
      <c r="D337" s="4" t="s">
        <v>58</v>
      </c>
      <c r="E337" s="4">
        <v>20</v>
      </c>
      <c r="F337" s="4">
        <v>3</v>
      </c>
      <c r="G337" s="6">
        <f t="shared" si="10"/>
        <v>5</v>
      </c>
      <c r="H337" s="3" t="str">
        <f t="shared" si="11"/>
        <v>★★★★★</v>
      </c>
    </row>
    <row r="338" spans="1:8" x14ac:dyDescent="0.25">
      <c r="A338" s="4" t="s">
        <v>291</v>
      </c>
      <c r="B338" s="4" t="s">
        <v>41</v>
      </c>
      <c r="C338" s="4" t="s">
        <v>116</v>
      </c>
      <c r="D338" s="4" t="s">
        <v>58</v>
      </c>
      <c r="E338" s="4">
        <v>31</v>
      </c>
      <c r="F338" s="4">
        <v>0.97</v>
      </c>
      <c r="G338" s="6">
        <f t="shared" si="10"/>
        <v>3</v>
      </c>
      <c r="H338" s="3" t="str">
        <f t="shared" si="11"/>
        <v>★★★</v>
      </c>
    </row>
    <row r="339" spans="1:8" x14ac:dyDescent="0.25">
      <c r="A339" s="4" t="s">
        <v>292</v>
      </c>
      <c r="B339" s="4" t="s">
        <v>62</v>
      </c>
      <c r="C339" s="4" t="s">
        <v>228</v>
      </c>
      <c r="D339" s="4" t="s">
        <v>58</v>
      </c>
      <c r="E339" s="4">
        <v>25</v>
      </c>
      <c r="F339" s="4">
        <v>1.05</v>
      </c>
      <c r="G339" s="6">
        <f t="shared" si="10"/>
        <v>3</v>
      </c>
      <c r="H339" s="3" t="str">
        <f t="shared" si="11"/>
        <v>★★★</v>
      </c>
    </row>
    <row r="340" spans="1:8" x14ac:dyDescent="0.25">
      <c r="A340" s="4" t="s">
        <v>293</v>
      </c>
      <c r="B340" s="4" t="s">
        <v>26</v>
      </c>
      <c r="C340" s="4" t="s">
        <v>109</v>
      </c>
      <c r="D340" s="4" t="s">
        <v>63</v>
      </c>
      <c r="E340" s="4">
        <v>28</v>
      </c>
      <c r="F340" s="4">
        <v>1.5</v>
      </c>
      <c r="G340" s="6">
        <f t="shared" si="10"/>
        <v>4</v>
      </c>
      <c r="H340" s="3" t="str">
        <f t="shared" si="11"/>
        <v>★★★★</v>
      </c>
    </row>
    <row r="341" spans="1:8" x14ac:dyDescent="0.25">
      <c r="A341" s="4" t="s">
        <v>294</v>
      </c>
      <c r="B341" s="4" t="s">
        <v>17</v>
      </c>
      <c r="C341" s="4" t="s">
        <v>476</v>
      </c>
      <c r="D341" s="4" t="s">
        <v>15</v>
      </c>
      <c r="E341" s="4">
        <v>22</v>
      </c>
      <c r="F341" s="4">
        <v>2.27</v>
      </c>
      <c r="G341" s="6">
        <f t="shared" si="10"/>
        <v>5</v>
      </c>
      <c r="H341" s="3" t="str">
        <f t="shared" si="11"/>
        <v>★★★★★</v>
      </c>
    </row>
    <row r="342" spans="1:8" x14ac:dyDescent="0.25">
      <c r="A342" s="4" t="s">
        <v>295</v>
      </c>
      <c r="B342" s="4" t="s">
        <v>29</v>
      </c>
      <c r="C342" s="4" t="s">
        <v>109</v>
      </c>
      <c r="D342" s="4" t="s">
        <v>69</v>
      </c>
      <c r="E342" s="4">
        <v>23</v>
      </c>
      <c r="F342" s="4">
        <v>1.21</v>
      </c>
      <c r="G342" s="6">
        <f t="shared" si="10"/>
        <v>3</v>
      </c>
      <c r="H342" s="3" t="str">
        <f t="shared" si="11"/>
        <v>★★★</v>
      </c>
    </row>
    <row r="343" spans="1:8" x14ac:dyDescent="0.25">
      <c r="A343" s="4" t="s">
        <v>296</v>
      </c>
      <c r="B343" s="4" t="s">
        <v>72</v>
      </c>
      <c r="C343" s="4" t="s">
        <v>109</v>
      </c>
      <c r="D343" s="4" t="s">
        <v>30</v>
      </c>
      <c r="E343" s="4">
        <v>31</v>
      </c>
      <c r="F343" s="4">
        <v>1.33</v>
      </c>
      <c r="G343" s="6">
        <f t="shared" si="10"/>
        <v>4</v>
      </c>
      <c r="H343" s="3" t="str">
        <f t="shared" si="11"/>
        <v>★★★★</v>
      </c>
    </row>
    <row r="344" spans="1:8" x14ac:dyDescent="0.25">
      <c r="A344" s="4" t="s">
        <v>297</v>
      </c>
      <c r="B344" s="4" t="s">
        <v>298</v>
      </c>
      <c r="C344" s="4" t="s">
        <v>471</v>
      </c>
      <c r="D344" s="4" t="s">
        <v>21</v>
      </c>
      <c r="E344" s="4">
        <v>27</v>
      </c>
      <c r="F344" s="4">
        <v>2.04</v>
      </c>
      <c r="G344" s="6">
        <f t="shared" si="10"/>
        <v>5</v>
      </c>
      <c r="H344" s="3" t="str">
        <f t="shared" si="11"/>
        <v>★★★★★</v>
      </c>
    </row>
    <row r="345" spans="1:8" x14ac:dyDescent="0.25">
      <c r="A345" s="4" t="s">
        <v>299</v>
      </c>
      <c r="B345" s="4" t="s">
        <v>75</v>
      </c>
      <c r="C345" s="4" t="s">
        <v>584</v>
      </c>
      <c r="D345" s="4" t="s">
        <v>35</v>
      </c>
      <c r="E345" s="4">
        <v>26</v>
      </c>
      <c r="F345" s="4">
        <v>1.6</v>
      </c>
      <c r="G345" s="6">
        <f t="shared" si="10"/>
        <v>4</v>
      </c>
      <c r="H345" s="3" t="str">
        <f t="shared" si="11"/>
        <v>★★★★</v>
      </c>
    </row>
    <row r="346" spans="1:8" x14ac:dyDescent="0.25">
      <c r="A346" s="4" t="s">
        <v>300</v>
      </c>
      <c r="B346" s="4" t="s">
        <v>185</v>
      </c>
      <c r="C346" s="4" t="s">
        <v>116</v>
      </c>
      <c r="D346" s="4" t="s">
        <v>18</v>
      </c>
      <c r="E346" s="4">
        <v>23</v>
      </c>
      <c r="F346" s="4">
        <v>3</v>
      </c>
      <c r="G346" s="6">
        <f t="shared" si="10"/>
        <v>5</v>
      </c>
      <c r="H346" s="3" t="str">
        <f t="shared" si="11"/>
        <v>★★★★★</v>
      </c>
    </row>
    <row r="347" spans="1:8" x14ac:dyDescent="0.25">
      <c r="A347" s="4" t="s">
        <v>59</v>
      </c>
      <c r="B347" s="4" t="s">
        <v>60</v>
      </c>
      <c r="C347" s="4" t="s">
        <v>471</v>
      </c>
      <c r="D347" s="4" t="s">
        <v>50</v>
      </c>
      <c r="E347" s="4">
        <v>33</v>
      </c>
      <c r="F347" s="4">
        <v>0.59</v>
      </c>
      <c r="G347" s="6">
        <f t="shared" si="10"/>
        <v>2</v>
      </c>
      <c r="H347" s="3" t="str">
        <f t="shared" si="11"/>
        <v>★★</v>
      </c>
    </row>
    <row r="348" spans="1:8" x14ac:dyDescent="0.25">
      <c r="A348" s="4" t="s">
        <v>301</v>
      </c>
      <c r="B348" s="4" t="s">
        <v>37</v>
      </c>
      <c r="C348" s="4" t="s">
        <v>476</v>
      </c>
      <c r="D348" s="4" t="s">
        <v>24</v>
      </c>
      <c r="E348" s="4">
        <v>34</v>
      </c>
      <c r="F348" s="4">
        <v>0.62</v>
      </c>
      <c r="G348" s="6">
        <f t="shared" si="10"/>
        <v>2</v>
      </c>
      <c r="H348" s="3" t="str">
        <f t="shared" si="11"/>
        <v>★★</v>
      </c>
    </row>
    <row r="349" spans="1:8" x14ac:dyDescent="0.25">
      <c r="A349" s="4" t="s">
        <v>515</v>
      </c>
      <c r="B349" s="4" t="s">
        <v>75</v>
      </c>
      <c r="C349" s="4" t="s">
        <v>116</v>
      </c>
      <c r="D349" s="4" t="s">
        <v>65</v>
      </c>
      <c r="E349" s="4">
        <v>21</v>
      </c>
      <c r="F349" s="4">
        <v>1.94</v>
      </c>
      <c r="G349" s="6">
        <f t="shared" si="10"/>
        <v>5</v>
      </c>
      <c r="H349" s="3" t="str">
        <f t="shared" si="11"/>
        <v>★★★★★</v>
      </c>
    </row>
    <row r="350" spans="1:8" x14ac:dyDescent="0.25">
      <c r="A350" s="4" t="s">
        <v>516</v>
      </c>
      <c r="B350" s="4" t="s">
        <v>17</v>
      </c>
      <c r="C350" s="4" t="s">
        <v>109</v>
      </c>
      <c r="D350" s="4" t="s">
        <v>63</v>
      </c>
      <c r="E350" s="4">
        <v>30</v>
      </c>
      <c r="F350" s="4">
        <v>1.8</v>
      </c>
      <c r="G350" s="6">
        <f t="shared" si="10"/>
        <v>5</v>
      </c>
      <c r="H350" s="3" t="str">
        <f t="shared" si="11"/>
        <v>★★★★★</v>
      </c>
    </row>
    <row r="351" spans="1:8" x14ac:dyDescent="0.25">
      <c r="A351" s="4" t="s">
        <v>302</v>
      </c>
      <c r="B351" s="4" t="s">
        <v>29</v>
      </c>
      <c r="C351" s="4" t="s">
        <v>114</v>
      </c>
      <c r="D351" s="4" t="s">
        <v>85</v>
      </c>
      <c r="E351" s="4">
        <v>33</v>
      </c>
      <c r="F351" s="4">
        <v>1.5</v>
      </c>
      <c r="G351" s="6">
        <f t="shared" si="10"/>
        <v>4</v>
      </c>
      <c r="H351" s="3" t="str">
        <f t="shared" si="11"/>
        <v>★★★★</v>
      </c>
    </row>
    <row r="352" spans="1:8" x14ac:dyDescent="0.25">
      <c r="A352" s="4" t="s">
        <v>303</v>
      </c>
      <c r="B352" s="4" t="s">
        <v>29</v>
      </c>
      <c r="C352" s="4" t="s">
        <v>471</v>
      </c>
      <c r="D352" s="4" t="s">
        <v>85</v>
      </c>
      <c r="E352" s="4">
        <v>20</v>
      </c>
      <c r="F352" s="4">
        <v>1.2</v>
      </c>
      <c r="G352" s="6">
        <f t="shared" si="10"/>
        <v>3</v>
      </c>
      <c r="H352" s="3" t="str">
        <f t="shared" si="11"/>
        <v>★★★</v>
      </c>
    </row>
    <row r="353" spans="1:8" x14ac:dyDescent="0.25">
      <c r="A353" s="4" t="s">
        <v>517</v>
      </c>
      <c r="B353" s="4" t="s">
        <v>32</v>
      </c>
      <c r="C353" s="4" t="s">
        <v>109</v>
      </c>
      <c r="D353" s="4" t="s">
        <v>18</v>
      </c>
      <c r="E353" s="4">
        <v>28</v>
      </c>
      <c r="F353" s="4">
        <v>1.3</v>
      </c>
      <c r="G353" s="6">
        <f t="shared" si="10"/>
        <v>4</v>
      </c>
      <c r="H353" s="3" t="str">
        <f t="shared" si="11"/>
        <v>★★★★</v>
      </c>
    </row>
    <row r="354" spans="1:8" x14ac:dyDescent="0.25">
      <c r="A354" s="4" t="s">
        <v>305</v>
      </c>
      <c r="B354" s="4" t="s">
        <v>20</v>
      </c>
      <c r="C354" s="4" t="s">
        <v>116</v>
      </c>
      <c r="D354" s="4" t="s">
        <v>39</v>
      </c>
      <c r="E354" s="4">
        <v>27</v>
      </c>
      <c r="F354" s="4">
        <v>2.52</v>
      </c>
      <c r="G354" s="6">
        <f t="shared" si="10"/>
        <v>5</v>
      </c>
      <c r="H354" s="3" t="str">
        <f t="shared" si="11"/>
        <v>★★★★★</v>
      </c>
    </row>
    <row r="355" spans="1:8" x14ac:dyDescent="0.25">
      <c r="A355" s="4" t="s">
        <v>306</v>
      </c>
      <c r="B355" s="4" t="s">
        <v>29</v>
      </c>
      <c r="C355" s="4" t="s">
        <v>228</v>
      </c>
      <c r="D355" s="4" t="s">
        <v>35</v>
      </c>
      <c r="E355" s="4">
        <v>27</v>
      </c>
      <c r="F355" s="4">
        <v>1.08</v>
      </c>
      <c r="G355" s="6">
        <f t="shared" si="10"/>
        <v>3</v>
      </c>
      <c r="H355" s="3" t="str">
        <f t="shared" si="11"/>
        <v>★★★</v>
      </c>
    </row>
    <row r="356" spans="1:8" x14ac:dyDescent="0.25">
      <c r="A356" s="4" t="s">
        <v>759</v>
      </c>
      <c r="B356" s="4" t="s">
        <v>162</v>
      </c>
      <c r="C356" s="4" t="s">
        <v>116</v>
      </c>
      <c r="D356" s="4" t="s">
        <v>39</v>
      </c>
      <c r="E356" s="4">
        <v>17</v>
      </c>
      <c r="F356" s="4">
        <v>0</v>
      </c>
      <c r="G356" s="6">
        <f t="shared" si="10"/>
        <v>1</v>
      </c>
      <c r="H356" s="3" t="str">
        <f t="shared" si="11"/>
        <v>★</v>
      </c>
    </row>
    <row r="357" spans="1:8" x14ac:dyDescent="0.25">
      <c r="A357" s="4" t="s">
        <v>760</v>
      </c>
      <c r="B357" s="4" t="s">
        <v>29</v>
      </c>
      <c r="C357" s="4" t="s">
        <v>584</v>
      </c>
      <c r="D357" s="4" t="s">
        <v>65</v>
      </c>
      <c r="E357" s="4">
        <v>20</v>
      </c>
      <c r="F357" s="4">
        <v>0</v>
      </c>
      <c r="G357" s="6">
        <f t="shared" si="10"/>
        <v>1</v>
      </c>
      <c r="H357" s="3" t="str">
        <f t="shared" si="11"/>
        <v>★</v>
      </c>
    </row>
    <row r="358" spans="1:8" x14ac:dyDescent="0.25">
      <c r="A358" s="4" t="s">
        <v>307</v>
      </c>
      <c r="B358" s="4" t="s">
        <v>17</v>
      </c>
      <c r="C358" s="4" t="s">
        <v>476</v>
      </c>
      <c r="D358" s="4" t="s">
        <v>50</v>
      </c>
      <c r="E358" s="4">
        <v>28</v>
      </c>
      <c r="F358" s="4">
        <v>0.55000000000000004</v>
      </c>
      <c r="G358" s="6">
        <f t="shared" si="10"/>
        <v>2</v>
      </c>
      <c r="H358" s="3" t="str">
        <f t="shared" si="11"/>
        <v>★★</v>
      </c>
    </row>
    <row r="359" spans="1:8" x14ac:dyDescent="0.25">
      <c r="A359" s="4" t="s">
        <v>308</v>
      </c>
      <c r="B359" s="4" t="s">
        <v>29</v>
      </c>
      <c r="C359" s="4" t="s">
        <v>116</v>
      </c>
      <c r="D359" s="4" t="s">
        <v>53</v>
      </c>
      <c r="E359" s="4">
        <v>34</v>
      </c>
      <c r="F359" s="4">
        <v>1</v>
      </c>
      <c r="G359" s="6">
        <f t="shared" si="10"/>
        <v>3</v>
      </c>
      <c r="H359" s="3" t="str">
        <f t="shared" si="11"/>
        <v>★★★</v>
      </c>
    </row>
    <row r="360" spans="1:8" x14ac:dyDescent="0.25">
      <c r="A360" s="4" t="s">
        <v>61</v>
      </c>
      <c r="B360" s="4" t="s">
        <v>62</v>
      </c>
      <c r="C360" s="4" t="s">
        <v>109</v>
      </c>
      <c r="D360" s="4" t="s">
        <v>63</v>
      </c>
      <c r="E360" s="4">
        <v>29</v>
      </c>
      <c r="F360" s="4">
        <v>0.75</v>
      </c>
      <c r="G360" s="6">
        <f t="shared" si="10"/>
        <v>2</v>
      </c>
      <c r="H360" s="3" t="str">
        <f t="shared" si="11"/>
        <v>★★</v>
      </c>
    </row>
    <row r="361" spans="1:8" x14ac:dyDescent="0.25">
      <c r="A361" s="4" t="s">
        <v>761</v>
      </c>
      <c r="B361" s="4" t="s">
        <v>127</v>
      </c>
      <c r="C361" s="4" t="s">
        <v>228</v>
      </c>
      <c r="D361" s="4" t="s">
        <v>85</v>
      </c>
      <c r="E361" s="4">
        <v>19</v>
      </c>
      <c r="F361" s="4">
        <v>0</v>
      </c>
      <c r="G361" s="6">
        <f t="shared" si="10"/>
        <v>1</v>
      </c>
      <c r="H361" s="3" t="str">
        <f t="shared" si="11"/>
        <v>★</v>
      </c>
    </row>
    <row r="362" spans="1:8" x14ac:dyDescent="0.25">
      <c r="A362" s="4" t="s">
        <v>762</v>
      </c>
      <c r="B362" s="4" t="s">
        <v>29</v>
      </c>
      <c r="C362" s="4" t="s">
        <v>584</v>
      </c>
      <c r="D362" s="4" t="s">
        <v>33</v>
      </c>
      <c r="E362" s="4">
        <v>23</v>
      </c>
      <c r="F362" s="4">
        <v>0</v>
      </c>
      <c r="G362" s="6">
        <f t="shared" si="10"/>
        <v>1</v>
      </c>
      <c r="H362" s="3" t="str">
        <f t="shared" si="11"/>
        <v>★</v>
      </c>
    </row>
    <row r="363" spans="1:8" x14ac:dyDescent="0.25">
      <c r="A363" s="4" t="s">
        <v>309</v>
      </c>
      <c r="B363" s="4" t="s">
        <v>165</v>
      </c>
      <c r="C363" s="4" t="s">
        <v>109</v>
      </c>
      <c r="D363" s="4" t="s">
        <v>35</v>
      </c>
      <c r="E363" s="4">
        <v>23</v>
      </c>
      <c r="F363" s="4">
        <v>0.8</v>
      </c>
      <c r="G363" s="6">
        <f t="shared" si="10"/>
        <v>2</v>
      </c>
      <c r="H363" s="3" t="str">
        <f t="shared" si="11"/>
        <v>★★</v>
      </c>
    </row>
    <row r="364" spans="1:8" x14ac:dyDescent="0.25">
      <c r="A364" s="4" t="s">
        <v>310</v>
      </c>
      <c r="B364" s="4" t="s">
        <v>75</v>
      </c>
      <c r="C364" s="4" t="s">
        <v>116</v>
      </c>
      <c r="D364" s="4" t="s">
        <v>47</v>
      </c>
      <c r="E364" s="4">
        <v>27</v>
      </c>
      <c r="F364" s="4">
        <v>1.39</v>
      </c>
      <c r="G364" s="6">
        <f t="shared" si="10"/>
        <v>4</v>
      </c>
      <c r="H364" s="3" t="str">
        <f t="shared" si="11"/>
        <v>★★★★</v>
      </c>
    </row>
    <row r="365" spans="1:8" x14ac:dyDescent="0.25">
      <c r="A365" s="4" t="s">
        <v>518</v>
      </c>
      <c r="B365" s="4" t="s">
        <v>29</v>
      </c>
      <c r="C365" s="4" t="s">
        <v>116</v>
      </c>
      <c r="D365" s="4" t="s">
        <v>47</v>
      </c>
      <c r="E365" s="4">
        <v>28</v>
      </c>
      <c r="F365" s="4">
        <v>1.44</v>
      </c>
      <c r="G365" s="6">
        <f t="shared" si="10"/>
        <v>4</v>
      </c>
      <c r="H365" s="3" t="str">
        <f t="shared" si="11"/>
        <v>★★★★</v>
      </c>
    </row>
    <row r="366" spans="1:8" x14ac:dyDescent="0.25">
      <c r="A366" s="4" t="s">
        <v>311</v>
      </c>
      <c r="B366" s="4" t="s">
        <v>29</v>
      </c>
      <c r="C366" s="4" t="s">
        <v>116</v>
      </c>
      <c r="D366" s="4" t="s">
        <v>33</v>
      </c>
      <c r="E366" s="4">
        <v>18</v>
      </c>
      <c r="F366" s="4">
        <v>1.1399999999999999</v>
      </c>
      <c r="G366" s="6">
        <f t="shared" si="10"/>
        <v>3</v>
      </c>
      <c r="H366" s="3" t="str">
        <f t="shared" si="11"/>
        <v>★★★</v>
      </c>
    </row>
    <row r="367" spans="1:8" x14ac:dyDescent="0.25">
      <c r="A367" s="4" t="s">
        <v>312</v>
      </c>
      <c r="B367" s="4" t="s">
        <v>20</v>
      </c>
      <c r="C367" s="4" t="s">
        <v>116</v>
      </c>
      <c r="D367" s="4" t="s">
        <v>58</v>
      </c>
      <c r="E367" s="4">
        <v>27</v>
      </c>
      <c r="F367" s="4">
        <v>1.18</v>
      </c>
      <c r="G367" s="6">
        <f t="shared" si="10"/>
        <v>3</v>
      </c>
      <c r="H367" s="3" t="str">
        <f t="shared" si="11"/>
        <v>★★★</v>
      </c>
    </row>
    <row r="368" spans="1:8" x14ac:dyDescent="0.25">
      <c r="A368" s="4" t="s">
        <v>64</v>
      </c>
      <c r="B368" s="4" t="s">
        <v>17</v>
      </c>
      <c r="C368" s="4" t="s">
        <v>109</v>
      </c>
      <c r="D368" s="4" t="s">
        <v>65</v>
      </c>
      <c r="E368" s="4">
        <v>34</v>
      </c>
      <c r="F368" s="4">
        <v>1.87</v>
      </c>
      <c r="G368" s="6">
        <f t="shared" si="10"/>
        <v>5</v>
      </c>
      <c r="H368" s="3" t="str">
        <f t="shared" si="11"/>
        <v>★★★★★</v>
      </c>
    </row>
    <row r="369" spans="1:8" x14ac:dyDescent="0.25">
      <c r="A369" s="4" t="s">
        <v>519</v>
      </c>
      <c r="B369" s="4" t="s">
        <v>32</v>
      </c>
      <c r="C369" s="4" t="s">
        <v>476</v>
      </c>
      <c r="D369" s="4" t="s">
        <v>65</v>
      </c>
      <c r="E369" s="4">
        <v>25</v>
      </c>
      <c r="F369" s="4">
        <v>1.78</v>
      </c>
      <c r="G369" s="6">
        <f t="shared" si="10"/>
        <v>5</v>
      </c>
      <c r="H369" s="3" t="str">
        <f t="shared" si="11"/>
        <v>★★★★★</v>
      </c>
    </row>
    <row r="370" spans="1:8" x14ac:dyDescent="0.25">
      <c r="A370" s="4" t="s">
        <v>625</v>
      </c>
      <c r="B370" s="4" t="s">
        <v>60</v>
      </c>
      <c r="C370" s="4" t="s">
        <v>676</v>
      </c>
      <c r="D370" s="4" t="s">
        <v>85</v>
      </c>
      <c r="E370" s="4">
        <v>27</v>
      </c>
      <c r="F370" s="4">
        <v>1</v>
      </c>
      <c r="G370" s="6">
        <f t="shared" si="10"/>
        <v>3</v>
      </c>
      <c r="H370" s="3" t="str">
        <f t="shared" si="11"/>
        <v>★★★</v>
      </c>
    </row>
    <row r="371" spans="1:8" x14ac:dyDescent="0.25">
      <c r="A371" s="4" t="s">
        <v>313</v>
      </c>
      <c r="B371" s="4" t="s">
        <v>29</v>
      </c>
      <c r="C371" s="4" t="s">
        <v>109</v>
      </c>
      <c r="D371" s="4" t="s">
        <v>21</v>
      </c>
      <c r="E371" s="4">
        <v>25</v>
      </c>
      <c r="F371" s="4">
        <v>1.88</v>
      </c>
      <c r="G371" s="6">
        <f t="shared" si="10"/>
        <v>5</v>
      </c>
      <c r="H371" s="3" t="str">
        <f t="shared" si="11"/>
        <v>★★★★★</v>
      </c>
    </row>
    <row r="372" spans="1:8" x14ac:dyDescent="0.25">
      <c r="A372" s="4" t="s">
        <v>763</v>
      </c>
      <c r="B372" s="4" t="s">
        <v>55</v>
      </c>
      <c r="C372" s="4" t="s">
        <v>471</v>
      </c>
      <c r="D372" s="4" t="s">
        <v>27</v>
      </c>
      <c r="E372" s="4">
        <v>37</v>
      </c>
      <c r="F372" s="4">
        <v>0</v>
      </c>
      <c r="G372" s="6">
        <f t="shared" si="10"/>
        <v>1</v>
      </c>
      <c r="H372" s="3" t="str">
        <f t="shared" si="11"/>
        <v>★</v>
      </c>
    </row>
    <row r="373" spans="1:8" x14ac:dyDescent="0.25">
      <c r="A373" s="4" t="s">
        <v>314</v>
      </c>
      <c r="B373" s="4" t="s">
        <v>55</v>
      </c>
      <c r="C373" s="4" t="s">
        <v>116</v>
      </c>
      <c r="D373" s="4" t="s">
        <v>53</v>
      </c>
      <c r="E373" s="4">
        <v>30</v>
      </c>
      <c r="F373" s="4">
        <v>0.67</v>
      </c>
      <c r="G373" s="6">
        <f t="shared" si="10"/>
        <v>2</v>
      </c>
      <c r="H373" s="3" t="str">
        <f t="shared" si="11"/>
        <v>★★</v>
      </c>
    </row>
    <row r="374" spans="1:8" x14ac:dyDescent="0.25">
      <c r="A374" s="4" t="s">
        <v>626</v>
      </c>
      <c r="B374" s="4" t="s">
        <v>55</v>
      </c>
      <c r="C374" s="4" t="s">
        <v>584</v>
      </c>
      <c r="D374" s="4" t="s">
        <v>33</v>
      </c>
      <c r="E374" s="4">
        <v>34</v>
      </c>
      <c r="F374" s="4">
        <v>1.23</v>
      </c>
      <c r="G374" s="6">
        <f t="shared" si="10"/>
        <v>3</v>
      </c>
      <c r="H374" s="3" t="str">
        <f t="shared" si="11"/>
        <v>★★★</v>
      </c>
    </row>
    <row r="375" spans="1:8" x14ac:dyDescent="0.25">
      <c r="A375" s="4" t="s">
        <v>315</v>
      </c>
      <c r="B375" s="4" t="s">
        <v>29</v>
      </c>
      <c r="C375" s="4" t="s">
        <v>471</v>
      </c>
      <c r="D375" s="4" t="s">
        <v>35</v>
      </c>
      <c r="E375" s="4">
        <v>23</v>
      </c>
      <c r="F375" s="4">
        <v>1.29</v>
      </c>
      <c r="G375" s="6">
        <f t="shared" si="10"/>
        <v>4</v>
      </c>
      <c r="H375" s="3" t="str">
        <f t="shared" si="11"/>
        <v>★★★★</v>
      </c>
    </row>
    <row r="376" spans="1:8" x14ac:dyDescent="0.25">
      <c r="A376" s="4" t="s">
        <v>520</v>
      </c>
      <c r="B376" s="4" t="s">
        <v>219</v>
      </c>
      <c r="C376" s="4" t="s">
        <v>476</v>
      </c>
      <c r="D376" s="4" t="s">
        <v>87</v>
      </c>
      <c r="E376" s="4">
        <v>23</v>
      </c>
      <c r="F376" s="4">
        <v>1.1200000000000001</v>
      </c>
      <c r="G376" s="6">
        <f t="shared" si="10"/>
        <v>3</v>
      </c>
      <c r="H376" s="3" t="str">
        <f t="shared" si="11"/>
        <v>★★★</v>
      </c>
    </row>
    <row r="377" spans="1:8" x14ac:dyDescent="0.25">
      <c r="A377" s="4" t="s">
        <v>66</v>
      </c>
      <c r="B377" s="4" t="s">
        <v>67</v>
      </c>
      <c r="C377" s="4" t="s">
        <v>109</v>
      </c>
      <c r="D377" s="4" t="s">
        <v>43</v>
      </c>
      <c r="E377" s="4">
        <v>32</v>
      </c>
      <c r="F377" s="4">
        <v>0</v>
      </c>
      <c r="G377" s="6">
        <f t="shared" si="10"/>
        <v>1</v>
      </c>
      <c r="H377" s="3" t="str">
        <f t="shared" si="11"/>
        <v>★</v>
      </c>
    </row>
    <row r="378" spans="1:8" x14ac:dyDescent="0.25">
      <c r="A378" s="4" t="s">
        <v>316</v>
      </c>
      <c r="B378" s="4" t="s">
        <v>317</v>
      </c>
      <c r="C378" s="4" t="s">
        <v>116</v>
      </c>
      <c r="D378" s="4" t="s">
        <v>24</v>
      </c>
      <c r="E378" s="4">
        <v>22</v>
      </c>
      <c r="F378" s="4">
        <v>0.5</v>
      </c>
      <c r="G378" s="6">
        <f t="shared" si="10"/>
        <v>2</v>
      </c>
      <c r="H378" s="3" t="str">
        <f t="shared" si="11"/>
        <v>★★</v>
      </c>
    </row>
    <row r="379" spans="1:8" x14ac:dyDescent="0.25">
      <c r="A379" s="4" t="s">
        <v>318</v>
      </c>
      <c r="B379" s="4" t="s">
        <v>29</v>
      </c>
      <c r="C379" s="4" t="s">
        <v>476</v>
      </c>
      <c r="D379" s="4" t="s">
        <v>53</v>
      </c>
      <c r="E379" s="4">
        <v>32</v>
      </c>
      <c r="F379" s="4">
        <v>1</v>
      </c>
      <c r="G379" s="6">
        <f t="shared" si="10"/>
        <v>3</v>
      </c>
      <c r="H379" s="3" t="str">
        <f t="shared" si="11"/>
        <v>★★★</v>
      </c>
    </row>
    <row r="380" spans="1:8" x14ac:dyDescent="0.25">
      <c r="A380" s="4" t="s">
        <v>319</v>
      </c>
      <c r="B380" s="4" t="s">
        <v>14</v>
      </c>
      <c r="C380" s="4" t="s">
        <v>109</v>
      </c>
      <c r="D380" s="4" t="s">
        <v>69</v>
      </c>
      <c r="E380" s="4">
        <v>23</v>
      </c>
      <c r="F380" s="4">
        <v>1.24</v>
      </c>
      <c r="G380" s="6">
        <f t="shared" si="10"/>
        <v>3</v>
      </c>
      <c r="H380" s="3" t="str">
        <f t="shared" si="11"/>
        <v>★★★</v>
      </c>
    </row>
    <row r="381" spans="1:8" x14ac:dyDescent="0.25">
      <c r="A381" s="4" t="s">
        <v>627</v>
      </c>
      <c r="B381" s="4" t="s">
        <v>162</v>
      </c>
      <c r="C381" s="4" t="s">
        <v>471</v>
      </c>
      <c r="D381" s="4" t="s">
        <v>21</v>
      </c>
      <c r="E381" s="4">
        <v>28</v>
      </c>
      <c r="F381" s="4">
        <v>1.88</v>
      </c>
      <c r="G381" s="6">
        <f t="shared" si="10"/>
        <v>5</v>
      </c>
      <c r="H381" s="3" t="str">
        <f t="shared" si="11"/>
        <v>★★★★★</v>
      </c>
    </row>
    <row r="382" spans="1:8" x14ac:dyDescent="0.25">
      <c r="A382" s="4" t="s">
        <v>320</v>
      </c>
      <c r="B382" s="4" t="s">
        <v>14</v>
      </c>
      <c r="C382" s="4" t="s">
        <v>584</v>
      </c>
      <c r="D382" s="4" t="s">
        <v>33</v>
      </c>
      <c r="E382" s="4">
        <v>24</v>
      </c>
      <c r="F382" s="4">
        <v>1.07</v>
      </c>
      <c r="G382" s="6">
        <f t="shared" si="10"/>
        <v>3</v>
      </c>
      <c r="H382" s="3" t="str">
        <f t="shared" si="11"/>
        <v>★★★</v>
      </c>
    </row>
    <row r="383" spans="1:8" x14ac:dyDescent="0.25">
      <c r="A383" s="4" t="s">
        <v>521</v>
      </c>
      <c r="B383" s="4" t="s">
        <v>32</v>
      </c>
      <c r="C383" s="4" t="s">
        <v>109</v>
      </c>
      <c r="D383" s="4" t="s">
        <v>85</v>
      </c>
      <c r="E383" s="4">
        <v>22</v>
      </c>
      <c r="F383" s="4">
        <v>1.33</v>
      </c>
      <c r="G383" s="6">
        <f t="shared" si="10"/>
        <v>4</v>
      </c>
      <c r="H383" s="3" t="str">
        <f t="shared" si="11"/>
        <v>★★★★</v>
      </c>
    </row>
    <row r="384" spans="1:8" x14ac:dyDescent="0.25">
      <c r="A384" s="4" t="s">
        <v>522</v>
      </c>
      <c r="B384" s="4" t="s">
        <v>29</v>
      </c>
      <c r="C384" s="4" t="s">
        <v>116</v>
      </c>
      <c r="D384" s="4" t="s">
        <v>87</v>
      </c>
      <c r="E384" s="4">
        <v>24</v>
      </c>
      <c r="F384" s="4">
        <v>1.4</v>
      </c>
      <c r="G384" s="6">
        <f t="shared" si="10"/>
        <v>4</v>
      </c>
      <c r="H384" s="3" t="str">
        <f t="shared" si="11"/>
        <v>★★★★</v>
      </c>
    </row>
    <row r="385" spans="1:8" x14ac:dyDescent="0.25">
      <c r="A385" s="4" t="s">
        <v>764</v>
      </c>
      <c r="B385" s="4" t="s">
        <v>29</v>
      </c>
      <c r="C385" s="4" t="s">
        <v>584</v>
      </c>
      <c r="D385" s="4" t="s">
        <v>43</v>
      </c>
      <c r="E385" s="4">
        <v>20</v>
      </c>
      <c r="F385" s="4">
        <v>0</v>
      </c>
      <c r="G385" s="6">
        <f t="shared" si="10"/>
        <v>1</v>
      </c>
      <c r="H385" s="3" t="str">
        <f t="shared" si="11"/>
        <v>★</v>
      </c>
    </row>
    <row r="386" spans="1:8" x14ac:dyDescent="0.25">
      <c r="A386" s="4" t="s">
        <v>321</v>
      </c>
      <c r="B386" s="4" t="s">
        <v>29</v>
      </c>
      <c r="C386" s="4" t="s">
        <v>676</v>
      </c>
      <c r="D386" s="4" t="s">
        <v>47</v>
      </c>
      <c r="E386" s="4">
        <v>28</v>
      </c>
      <c r="F386" s="4">
        <v>1.67</v>
      </c>
      <c r="G386" s="6">
        <f t="shared" si="10"/>
        <v>4</v>
      </c>
      <c r="H386" s="3" t="str">
        <f t="shared" si="11"/>
        <v>★★★★</v>
      </c>
    </row>
    <row r="387" spans="1:8" x14ac:dyDescent="0.25">
      <c r="A387" s="4" t="s">
        <v>628</v>
      </c>
      <c r="B387" s="4" t="s">
        <v>479</v>
      </c>
      <c r="C387" s="4" t="s">
        <v>109</v>
      </c>
      <c r="D387" s="4" t="s">
        <v>39</v>
      </c>
      <c r="E387" s="4">
        <v>30</v>
      </c>
      <c r="F387" s="4">
        <v>2.39</v>
      </c>
      <c r="G387" s="6">
        <f t="shared" ref="G387:G450" si="12">VLOOKUP(F387,$K$10:$M$15,3,1)</f>
        <v>5</v>
      </c>
      <c r="H387" s="3" t="str">
        <f t="shared" ref="H387:H450" si="13">_xlfn.IFS(G387=0,"☆",G387=0.5,"½", G387=1,"★",G387 =1.5,"★½", G387 =2.5,"★★½", G387=2,"★★", G387=3,"★★★", G387 =3.5,"★★★½",G387=4,"★★★★", G387 =4.5,"★★★★½", G387=5,"★★★★★")</f>
        <v>★★★★★</v>
      </c>
    </row>
    <row r="388" spans="1:8" x14ac:dyDescent="0.25">
      <c r="A388" s="4" t="s">
        <v>322</v>
      </c>
      <c r="B388" s="4" t="s">
        <v>29</v>
      </c>
      <c r="C388" s="4" t="s">
        <v>109</v>
      </c>
      <c r="D388" s="4" t="s">
        <v>63</v>
      </c>
      <c r="E388" s="4">
        <v>23</v>
      </c>
      <c r="F388" s="4">
        <v>2</v>
      </c>
      <c r="G388" s="6">
        <f t="shared" si="12"/>
        <v>5</v>
      </c>
      <c r="H388" s="3" t="str">
        <f t="shared" si="13"/>
        <v>★★★★★</v>
      </c>
    </row>
    <row r="389" spans="1:8" x14ac:dyDescent="0.25">
      <c r="A389" s="4" t="s">
        <v>629</v>
      </c>
      <c r="B389" s="4" t="s">
        <v>72</v>
      </c>
      <c r="C389" s="4" t="s">
        <v>476</v>
      </c>
      <c r="D389" s="4" t="s">
        <v>15</v>
      </c>
      <c r="E389" s="4">
        <v>29</v>
      </c>
      <c r="F389" s="4">
        <v>2.35</v>
      </c>
      <c r="G389" s="6">
        <f t="shared" si="12"/>
        <v>5</v>
      </c>
      <c r="H389" s="3" t="str">
        <f t="shared" si="13"/>
        <v>★★★★★</v>
      </c>
    </row>
    <row r="390" spans="1:8" x14ac:dyDescent="0.25">
      <c r="A390" s="4" t="s">
        <v>323</v>
      </c>
      <c r="B390" s="4" t="s">
        <v>20</v>
      </c>
      <c r="C390" s="4" t="s">
        <v>476</v>
      </c>
      <c r="D390" s="4" t="s">
        <v>35</v>
      </c>
      <c r="E390" s="4">
        <v>27</v>
      </c>
      <c r="F390" s="4">
        <v>1.05</v>
      </c>
      <c r="G390" s="6">
        <f t="shared" si="12"/>
        <v>3</v>
      </c>
      <c r="H390" s="3" t="str">
        <f t="shared" si="13"/>
        <v>★★★</v>
      </c>
    </row>
    <row r="391" spans="1:8" x14ac:dyDescent="0.25">
      <c r="A391" s="4" t="s">
        <v>324</v>
      </c>
      <c r="B391" s="4" t="s">
        <v>14</v>
      </c>
      <c r="C391" s="4" t="s">
        <v>471</v>
      </c>
      <c r="D391" s="4" t="s">
        <v>81</v>
      </c>
      <c r="E391" s="4">
        <v>32</v>
      </c>
      <c r="F391" s="4">
        <v>1.56</v>
      </c>
      <c r="G391" s="6">
        <f t="shared" si="12"/>
        <v>4</v>
      </c>
      <c r="H391" s="3" t="str">
        <f t="shared" si="13"/>
        <v>★★★★</v>
      </c>
    </row>
    <row r="392" spans="1:8" x14ac:dyDescent="0.25">
      <c r="A392" s="4" t="s">
        <v>325</v>
      </c>
      <c r="B392" s="4" t="s">
        <v>29</v>
      </c>
      <c r="C392" s="4" t="s">
        <v>676</v>
      </c>
      <c r="D392" s="4" t="s">
        <v>85</v>
      </c>
      <c r="E392" s="4">
        <v>27</v>
      </c>
      <c r="F392" s="4">
        <v>1.23</v>
      </c>
      <c r="G392" s="6">
        <f t="shared" si="12"/>
        <v>3</v>
      </c>
      <c r="H392" s="3" t="str">
        <f t="shared" si="13"/>
        <v>★★★</v>
      </c>
    </row>
    <row r="393" spans="1:8" x14ac:dyDescent="0.25">
      <c r="A393" s="4" t="s">
        <v>326</v>
      </c>
      <c r="B393" s="4" t="s">
        <v>20</v>
      </c>
      <c r="C393" s="4" t="s">
        <v>116</v>
      </c>
      <c r="D393" s="4" t="s">
        <v>63</v>
      </c>
      <c r="E393" s="4">
        <v>27</v>
      </c>
      <c r="F393" s="4">
        <v>0</v>
      </c>
      <c r="G393" s="6">
        <f t="shared" si="12"/>
        <v>1</v>
      </c>
      <c r="H393" s="3" t="str">
        <f t="shared" si="13"/>
        <v>★</v>
      </c>
    </row>
    <row r="394" spans="1:8" x14ac:dyDescent="0.25">
      <c r="A394" s="4" t="s">
        <v>765</v>
      </c>
      <c r="B394" s="4" t="s">
        <v>29</v>
      </c>
      <c r="C394" s="4" t="s">
        <v>584</v>
      </c>
      <c r="D394" s="4" t="s">
        <v>65</v>
      </c>
      <c r="E394" s="4">
        <v>19</v>
      </c>
      <c r="F394" s="4">
        <v>0</v>
      </c>
      <c r="G394" s="6">
        <f t="shared" si="12"/>
        <v>1</v>
      </c>
      <c r="H394" s="3" t="str">
        <f t="shared" si="13"/>
        <v>★</v>
      </c>
    </row>
    <row r="395" spans="1:8" x14ac:dyDescent="0.25">
      <c r="A395" s="4" t="s">
        <v>766</v>
      </c>
      <c r="B395" s="4" t="s">
        <v>402</v>
      </c>
      <c r="C395" s="4" t="s">
        <v>471</v>
      </c>
      <c r="D395" s="4" t="s">
        <v>81</v>
      </c>
      <c r="E395" s="4">
        <v>18</v>
      </c>
      <c r="F395" s="4">
        <v>0</v>
      </c>
      <c r="G395" s="6">
        <f t="shared" si="12"/>
        <v>1</v>
      </c>
      <c r="H395" s="3" t="str">
        <f t="shared" si="13"/>
        <v>★</v>
      </c>
    </row>
    <row r="396" spans="1:8" x14ac:dyDescent="0.25">
      <c r="A396" s="4" t="s">
        <v>767</v>
      </c>
      <c r="B396" s="4" t="s">
        <v>29</v>
      </c>
      <c r="C396" s="4" t="s">
        <v>476</v>
      </c>
      <c r="D396" s="4" t="s">
        <v>69</v>
      </c>
      <c r="E396" s="4">
        <v>18</v>
      </c>
      <c r="F396" s="4">
        <v>0</v>
      </c>
      <c r="G396" s="6">
        <f t="shared" si="12"/>
        <v>1</v>
      </c>
      <c r="H396" s="3" t="str">
        <f t="shared" si="13"/>
        <v>★</v>
      </c>
    </row>
    <row r="397" spans="1:8" x14ac:dyDescent="0.25">
      <c r="A397" s="4" t="s">
        <v>630</v>
      </c>
      <c r="B397" s="4" t="s">
        <v>17</v>
      </c>
      <c r="C397" s="4" t="s">
        <v>676</v>
      </c>
      <c r="D397" s="4" t="s">
        <v>47</v>
      </c>
      <c r="E397" s="4">
        <v>25</v>
      </c>
      <c r="F397" s="4">
        <v>2.13</v>
      </c>
      <c r="G397" s="6">
        <f t="shared" si="12"/>
        <v>5</v>
      </c>
      <c r="H397" s="3" t="str">
        <f t="shared" si="13"/>
        <v>★★★★★</v>
      </c>
    </row>
    <row r="398" spans="1:8" x14ac:dyDescent="0.25">
      <c r="A398" s="4" t="s">
        <v>523</v>
      </c>
      <c r="B398" s="4" t="s">
        <v>14</v>
      </c>
      <c r="C398" s="4" t="s">
        <v>116</v>
      </c>
      <c r="D398" s="4" t="s">
        <v>63</v>
      </c>
      <c r="E398" s="4">
        <v>20</v>
      </c>
      <c r="F398" s="4">
        <v>1.72</v>
      </c>
      <c r="G398" s="6">
        <f t="shared" si="12"/>
        <v>4</v>
      </c>
      <c r="H398" s="3" t="str">
        <f t="shared" si="13"/>
        <v>★★★★</v>
      </c>
    </row>
    <row r="399" spans="1:8" x14ac:dyDescent="0.25">
      <c r="A399" s="4" t="s">
        <v>68</v>
      </c>
      <c r="B399" s="4" t="s">
        <v>32</v>
      </c>
      <c r="C399" s="4" t="s">
        <v>476</v>
      </c>
      <c r="D399" s="4" t="s">
        <v>69</v>
      </c>
      <c r="E399" s="4">
        <v>28</v>
      </c>
      <c r="F399" s="4">
        <v>1.25</v>
      </c>
      <c r="G399" s="6">
        <f t="shared" si="12"/>
        <v>3</v>
      </c>
      <c r="H399" s="3" t="str">
        <f t="shared" si="13"/>
        <v>★★★</v>
      </c>
    </row>
    <row r="400" spans="1:8" x14ac:dyDescent="0.25">
      <c r="A400" s="4" t="s">
        <v>327</v>
      </c>
      <c r="B400" s="4" t="s">
        <v>317</v>
      </c>
      <c r="C400" s="4" t="s">
        <v>476</v>
      </c>
      <c r="D400" s="4" t="s">
        <v>24</v>
      </c>
      <c r="E400" s="4">
        <v>27</v>
      </c>
      <c r="F400" s="4">
        <v>0.67</v>
      </c>
      <c r="G400" s="6">
        <f t="shared" si="12"/>
        <v>2</v>
      </c>
      <c r="H400" s="3" t="str">
        <f t="shared" si="13"/>
        <v>★★</v>
      </c>
    </row>
    <row r="401" spans="1:8" x14ac:dyDescent="0.25">
      <c r="A401" s="4" t="s">
        <v>328</v>
      </c>
      <c r="B401" s="4" t="s">
        <v>284</v>
      </c>
      <c r="C401" s="4" t="s">
        <v>476</v>
      </c>
      <c r="D401" s="4" t="s">
        <v>18</v>
      </c>
      <c r="E401" s="4">
        <v>27</v>
      </c>
      <c r="F401" s="4">
        <v>1.31</v>
      </c>
      <c r="G401" s="6">
        <f t="shared" si="12"/>
        <v>4</v>
      </c>
      <c r="H401" s="3" t="str">
        <f t="shared" si="13"/>
        <v>★★★★</v>
      </c>
    </row>
    <row r="402" spans="1:8" x14ac:dyDescent="0.25">
      <c r="A402" s="4" t="s">
        <v>329</v>
      </c>
      <c r="B402" s="4" t="s">
        <v>20</v>
      </c>
      <c r="C402" s="4" t="s">
        <v>676</v>
      </c>
      <c r="D402" s="4" t="s">
        <v>47</v>
      </c>
      <c r="E402" s="4">
        <v>33</v>
      </c>
      <c r="F402" s="4">
        <v>1</v>
      </c>
      <c r="G402" s="6">
        <f t="shared" si="12"/>
        <v>3</v>
      </c>
      <c r="H402" s="3" t="str">
        <f t="shared" si="13"/>
        <v>★★★</v>
      </c>
    </row>
    <row r="403" spans="1:8" x14ac:dyDescent="0.25">
      <c r="A403" s="4" t="s">
        <v>631</v>
      </c>
      <c r="B403" s="4" t="s">
        <v>17</v>
      </c>
      <c r="C403" s="4" t="s">
        <v>471</v>
      </c>
      <c r="D403" s="4" t="s">
        <v>30</v>
      </c>
      <c r="E403" s="4">
        <v>24</v>
      </c>
      <c r="F403" s="4">
        <v>1.18</v>
      </c>
      <c r="G403" s="6">
        <f t="shared" si="12"/>
        <v>3</v>
      </c>
      <c r="H403" s="3" t="str">
        <f t="shared" si="13"/>
        <v>★★★</v>
      </c>
    </row>
    <row r="404" spans="1:8" x14ac:dyDescent="0.25">
      <c r="A404" s="4" t="s">
        <v>330</v>
      </c>
      <c r="B404" s="4" t="s">
        <v>331</v>
      </c>
      <c r="C404" s="4" t="s">
        <v>109</v>
      </c>
      <c r="D404" s="4" t="s">
        <v>47</v>
      </c>
      <c r="E404" s="4">
        <v>32</v>
      </c>
      <c r="F404" s="4">
        <v>1.48</v>
      </c>
      <c r="G404" s="6">
        <f t="shared" si="12"/>
        <v>4</v>
      </c>
      <c r="H404" s="3" t="str">
        <f t="shared" si="13"/>
        <v>★★★★</v>
      </c>
    </row>
    <row r="405" spans="1:8" x14ac:dyDescent="0.25">
      <c r="A405" s="4" t="s">
        <v>332</v>
      </c>
      <c r="B405" s="4" t="s">
        <v>333</v>
      </c>
      <c r="C405" s="4" t="s">
        <v>116</v>
      </c>
      <c r="D405" s="4" t="s">
        <v>15</v>
      </c>
      <c r="E405" s="4">
        <v>29</v>
      </c>
      <c r="F405" s="4">
        <v>2.48</v>
      </c>
      <c r="G405" s="6">
        <f t="shared" si="12"/>
        <v>5</v>
      </c>
      <c r="H405" s="3" t="str">
        <f t="shared" si="13"/>
        <v>★★★★★</v>
      </c>
    </row>
    <row r="406" spans="1:8" x14ac:dyDescent="0.25">
      <c r="A406" s="4" t="s">
        <v>768</v>
      </c>
      <c r="B406" s="4" t="s">
        <v>29</v>
      </c>
      <c r="C406" s="4" t="s">
        <v>471</v>
      </c>
      <c r="D406" s="4" t="s">
        <v>30</v>
      </c>
      <c r="E406" s="4">
        <v>27</v>
      </c>
      <c r="F406" s="4">
        <v>0</v>
      </c>
      <c r="G406" s="6">
        <f t="shared" si="12"/>
        <v>1</v>
      </c>
      <c r="H406" s="3" t="str">
        <f t="shared" si="13"/>
        <v>★</v>
      </c>
    </row>
    <row r="407" spans="1:8" x14ac:dyDescent="0.25">
      <c r="A407" s="4" t="s">
        <v>632</v>
      </c>
      <c r="B407" s="4" t="s">
        <v>17</v>
      </c>
      <c r="C407" s="4" t="s">
        <v>476</v>
      </c>
      <c r="D407" s="4" t="s">
        <v>85</v>
      </c>
      <c r="E407" s="4">
        <v>24</v>
      </c>
      <c r="F407" s="4">
        <v>1.25</v>
      </c>
      <c r="G407" s="6">
        <f t="shared" si="12"/>
        <v>3</v>
      </c>
      <c r="H407" s="3" t="str">
        <f t="shared" si="13"/>
        <v>★★★</v>
      </c>
    </row>
    <row r="408" spans="1:8" x14ac:dyDescent="0.25">
      <c r="A408" s="4" t="s">
        <v>769</v>
      </c>
      <c r="B408" s="4" t="s">
        <v>29</v>
      </c>
      <c r="C408" s="4" t="s">
        <v>116</v>
      </c>
      <c r="D408" s="4" t="s">
        <v>39</v>
      </c>
      <c r="E408" s="4">
        <v>17</v>
      </c>
      <c r="F408" s="4">
        <v>0</v>
      </c>
      <c r="G408" s="6">
        <f t="shared" si="12"/>
        <v>1</v>
      </c>
      <c r="H408" s="3" t="str">
        <f t="shared" si="13"/>
        <v>★</v>
      </c>
    </row>
    <row r="409" spans="1:8" x14ac:dyDescent="0.25">
      <c r="A409" s="4" t="s">
        <v>633</v>
      </c>
      <c r="B409" s="4" t="s">
        <v>17</v>
      </c>
      <c r="C409" s="4" t="s">
        <v>109</v>
      </c>
      <c r="D409" s="4" t="s">
        <v>43</v>
      </c>
      <c r="E409" s="4">
        <v>21</v>
      </c>
      <c r="F409" s="4">
        <v>1.23</v>
      </c>
      <c r="G409" s="6">
        <f t="shared" si="12"/>
        <v>3</v>
      </c>
      <c r="H409" s="3" t="str">
        <f t="shared" si="13"/>
        <v>★★★</v>
      </c>
    </row>
    <row r="410" spans="1:8" x14ac:dyDescent="0.25">
      <c r="A410" s="4" t="s">
        <v>334</v>
      </c>
      <c r="B410" s="4" t="s">
        <v>127</v>
      </c>
      <c r="C410" s="4" t="s">
        <v>109</v>
      </c>
      <c r="D410" s="4" t="s">
        <v>30</v>
      </c>
      <c r="E410" s="4">
        <v>33</v>
      </c>
      <c r="F410" s="4">
        <v>1.43</v>
      </c>
      <c r="G410" s="6">
        <f t="shared" si="12"/>
        <v>4</v>
      </c>
      <c r="H410" s="3" t="str">
        <f t="shared" si="13"/>
        <v>★★★★</v>
      </c>
    </row>
    <row r="411" spans="1:8" x14ac:dyDescent="0.25">
      <c r="A411" s="4" t="s">
        <v>524</v>
      </c>
      <c r="B411" s="4" t="s">
        <v>29</v>
      </c>
      <c r="C411" s="4" t="s">
        <v>471</v>
      </c>
      <c r="D411" s="4" t="s">
        <v>39</v>
      </c>
      <c r="E411" s="4">
        <v>18</v>
      </c>
      <c r="F411" s="4">
        <v>3</v>
      </c>
      <c r="G411" s="6">
        <f t="shared" si="12"/>
        <v>5</v>
      </c>
      <c r="H411" s="3" t="str">
        <f t="shared" si="13"/>
        <v>★★★★★</v>
      </c>
    </row>
    <row r="412" spans="1:8" x14ac:dyDescent="0.25">
      <c r="A412" s="4" t="s">
        <v>634</v>
      </c>
      <c r="B412" s="4" t="s">
        <v>29</v>
      </c>
      <c r="C412" s="4" t="s">
        <v>109</v>
      </c>
      <c r="D412" s="4" t="s">
        <v>87</v>
      </c>
      <c r="E412" s="4">
        <v>19</v>
      </c>
      <c r="F412" s="4">
        <v>3</v>
      </c>
      <c r="G412" s="6">
        <f t="shared" si="12"/>
        <v>5</v>
      </c>
      <c r="H412" s="3" t="str">
        <f t="shared" si="13"/>
        <v>★★★★★</v>
      </c>
    </row>
    <row r="413" spans="1:8" x14ac:dyDescent="0.25">
      <c r="A413" s="4" t="s">
        <v>635</v>
      </c>
      <c r="B413" s="4" t="s">
        <v>127</v>
      </c>
      <c r="C413" s="4" t="s">
        <v>109</v>
      </c>
      <c r="D413" s="4" t="s">
        <v>58</v>
      </c>
      <c r="E413" s="4">
        <v>20</v>
      </c>
      <c r="F413" s="4">
        <v>0</v>
      </c>
      <c r="G413" s="6">
        <f t="shared" si="12"/>
        <v>1</v>
      </c>
      <c r="H413" s="3" t="str">
        <f t="shared" si="13"/>
        <v>★</v>
      </c>
    </row>
    <row r="414" spans="1:8" x14ac:dyDescent="0.25">
      <c r="A414" s="4" t="s">
        <v>70</v>
      </c>
      <c r="B414" s="4" t="s">
        <v>29</v>
      </c>
      <c r="C414" s="4" t="s">
        <v>116</v>
      </c>
      <c r="D414" s="4" t="s">
        <v>33</v>
      </c>
      <c r="E414" s="4">
        <v>31</v>
      </c>
      <c r="F414" s="4">
        <v>0.94</v>
      </c>
      <c r="G414" s="6">
        <f t="shared" si="12"/>
        <v>3</v>
      </c>
      <c r="H414" s="3" t="str">
        <f t="shared" si="13"/>
        <v>★★★</v>
      </c>
    </row>
    <row r="415" spans="1:8" x14ac:dyDescent="0.25">
      <c r="A415" s="4" t="s">
        <v>770</v>
      </c>
      <c r="B415" s="4" t="s">
        <v>127</v>
      </c>
      <c r="C415" s="4" t="s">
        <v>471</v>
      </c>
      <c r="D415" s="4" t="s">
        <v>50</v>
      </c>
      <c r="E415" s="4">
        <v>21</v>
      </c>
      <c r="F415" s="4">
        <v>0</v>
      </c>
      <c r="G415" s="6">
        <f t="shared" si="12"/>
        <v>1</v>
      </c>
      <c r="H415" s="3" t="str">
        <f t="shared" si="13"/>
        <v>★</v>
      </c>
    </row>
    <row r="416" spans="1:8" x14ac:dyDescent="0.25">
      <c r="A416" s="4" t="s">
        <v>771</v>
      </c>
      <c r="B416" s="4" t="s">
        <v>29</v>
      </c>
      <c r="C416" s="4" t="s">
        <v>584</v>
      </c>
      <c r="D416" s="4" t="s">
        <v>85</v>
      </c>
      <c r="E416" s="4">
        <v>21</v>
      </c>
      <c r="F416" s="4">
        <v>0</v>
      </c>
      <c r="G416" s="6">
        <f t="shared" si="12"/>
        <v>1</v>
      </c>
      <c r="H416" s="3" t="str">
        <f t="shared" si="13"/>
        <v>★</v>
      </c>
    </row>
    <row r="417" spans="1:8" x14ac:dyDescent="0.25">
      <c r="A417" s="4" t="s">
        <v>335</v>
      </c>
      <c r="B417" s="4" t="s">
        <v>127</v>
      </c>
      <c r="C417" s="4" t="s">
        <v>109</v>
      </c>
      <c r="D417" s="4" t="s">
        <v>69</v>
      </c>
      <c r="E417" s="4">
        <v>26</v>
      </c>
      <c r="F417" s="4">
        <v>1.23</v>
      </c>
      <c r="G417" s="6">
        <f t="shared" si="12"/>
        <v>3</v>
      </c>
      <c r="H417" s="3" t="str">
        <f t="shared" si="13"/>
        <v>★★★</v>
      </c>
    </row>
    <row r="418" spans="1:8" x14ac:dyDescent="0.25">
      <c r="A418" s="4" t="s">
        <v>772</v>
      </c>
      <c r="B418" s="4" t="s">
        <v>29</v>
      </c>
      <c r="C418" s="4" t="s">
        <v>109</v>
      </c>
      <c r="D418" s="4" t="s">
        <v>53</v>
      </c>
      <c r="E418" s="4">
        <v>18</v>
      </c>
      <c r="F418" s="4">
        <v>0</v>
      </c>
      <c r="G418" s="6">
        <f t="shared" si="12"/>
        <v>1</v>
      </c>
      <c r="H418" s="3" t="str">
        <f t="shared" si="13"/>
        <v>★</v>
      </c>
    </row>
    <row r="419" spans="1:8" x14ac:dyDescent="0.25">
      <c r="A419" s="4" t="s">
        <v>773</v>
      </c>
      <c r="B419" s="4" t="s">
        <v>165</v>
      </c>
      <c r="C419" s="4" t="s">
        <v>116</v>
      </c>
      <c r="D419" s="4" t="s">
        <v>50</v>
      </c>
      <c r="E419" s="4">
        <v>37</v>
      </c>
      <c r="F419" s="4">
        <v>0</v>
      </c>
      <c r="G419" s="6">
        <f t="shared" si="12"/>
        <v>1</v>
      </c>
      <c r="H419" s="3" t="str">
        <f t="shared" si="13"/>
        <v>★</v>
      </c>
    </row>
    <row r="420" spans="1:8" x14ac:dyDescent="0.25">
      <c r="A420" s="4" t="s">
        <v>336</v>
      </c>
      <c r="B420" s="4" t="s">
        <v>127</v>
      </c>
      <c r="C420" s="4" t="s">
        <v>584</v>
      </c>
      <c r="D420" s="4" t="s">
        <v>58</v>
      </c>
      <c r="E420" s="4">
        <v>18</v>
      </c>
      <c r="F420" s="4">
        <v>0</v>
      </c>
      <c r="G420" s="6">
        <f t="shared" si="12"/>
        <v>1</v>
      </c>
      <c r="H420" s="3" t="str">
        <f t="shared" si="13"/>
        <v>★</v>
      </c>
    </row>
    <row r="421" spans="1:8" x14ac:dyDescent="0.25">
      <c r="A421" s="4" t="s">
        <v>337</v>
      </c>
      <c r="B421" s="4" t="s">
        <v>127</v>
      </c>
      <c r="C421" s="4" t="s">
        <v>584</v>
      </c>
      <c r="D421" s="4" t="s">
        <v>50</v>
      </c>
      <c r="E421" s="4">
        <v>29</v>
      </c>
      <c r="F421" s="4">
        <v>0.57999999999999996</v>
      </c>
      <c r="G421" s="6">
        <f t="shared" si="12"/>
        <v>2</v>
      </c>
      <c r="H421" s="3" t="str">
        <f t="shared" si="13"/>
        <v>★★</v>
      </c>
    </row>
    <row r="422" spans="1:8" x14ac:dyDescent="0.25">
      <c r="A422" s="4" t="s">
        <v>338</v>
      </c>
      <c r="B422" s="4" t="s">
        <v>29</v>
      </c>
      <c r="C422" s="4" t="s">
        <v>109</v>
      </c>
      <c r="D422" s="4" t="s">
        <v>53</v>
      </c>
      <c r="E422" s="4">
        <v>21</v>
      </c>
      <c r="F422" s="4">
        <v>0.92</v>
      </c>
      <c r="G422" s="6">
        <f t="shared" si="12"/>
        <v>3</v>
      </c>
      <c r="H422" s="3" t="str">
        <f t="shared" si="13"/>
        <v>★★★</v>
      </c>
    </row>
    <row r="423" spans="1:8" x14ac:dyDescent="0.25">
      <c r="A423" s="4" t="s">
        <v>339</v>
      </c>
      <c r="B423" s="4" t="s">
        <v>127</v>
      </c>
      <c r="C423" s="4" t="s">
        <v>476</v>
      </c>
      <c r="D423" s="4" t="s">
        <v>47</v>
      </c>
      <c r="E423" s="4">
        <v>24</v>
      </c>
      <c r="F423" s="4">
        <v>1.47</v>
      </c>
      <c r="G423" s="6">
        <f t="shared" si="12"/>
        <v>4</v>
      </c>
      <c r="H423" s="3" t="str">
        <f t="shared" si="13"/>
        <v>★★★★</v>
      </c>
    </row>
    <row r="424" spans="1:8" x14ac:dyDescent="0.25">
      <c r="A424" s="4" t="s">
        <v>340</v>
      </c>
      <c r="B424" s="4" t="s">
        <v>29</v>
      </c>
      <c r="C424" s="4" t="s">
        <v>676</v>
      </c>
      <c r="D424" s="4" t="s">
        <v>53</v>
      </c>
      <c r="E424" s="4">
        <v>31</v>
      </c>
      <c r="F424" s="4">
        <v>0.9</v>
      </c>
      <c r="G424" s="6">
        <f t="shared" si="12"/>
        <v>3</v>
      </c>
      <c r="H424" s="3" t="str">
        <f t="shared" si="13"/>
        <v>★★★</v>
      </c>
    </row>
    <row r="425" spans="1:8" x14ac:dyDescent="0.25">
      <c r="A425" s="4" t="s">
        <v>636</v>
      </c>
      <c r="B425" s="4" t="s">
        <v>637</v>
      </c>
      <c r="C425" s="4" t="s">
        <v>109</v>
      </c>
      <c r="D425" s="4" t="s">
        <v>47</v>
      </c>
      <c r="E425" s="4">
        <v>18</v>
      </c>
      <c r="F425" s="4">
        <v>0</v>
      </c>
      <c r="G425" s="6">
        <f t="shared" si="12"/>
        <v>1</v>
      </c>
      <c r="H425" s="3" t="str">
        <f t="shared" si="13"/>
        <v>★</v>
      </c>
    </row>
    <row r="426" spans="1:8" x14ac:dyDescent="0.25">
      <c r="A426" s="4" t="s">
        <v>341</v>
      </c>
      <c r="B426" s="4" t="s">
        <v>17</v>
      </c>
      <c r="C426" s="4" t="s">
        <v>116</v>
      </c>
      <c r="D426" s="4" t="s">
        <v>39</v>
      </c>
      <c r="E426" s="4">
        <v>27</v>
      </c>
      <c r="F426" s="4">
        <v>0</v>
      </c>
      <c r="G426" s="6">
        <f t="shared" si="12"/>
        <v>1</v>
      </c>
      <c r="H426" s="3" t="str">
        <f t="shared" si="13"/>
        <v>★</v>
      </c>
    </row>
    <row r="427" spans="1:8" x14ac:dyDescent="0.25">
      <c r="A427" s="4" t="s">
        <v>71</v>
      </c>
      <c r="B427" s="4" t="s">
        <v>72</v>
      </c>
      <c r="C427" s="4" t="s">
        <v>676</v>
      </c>
      <c r="D427" s="4" t="s">
        <v>21</v>
      </c>
      <c r="E427" s="4">
        <v>29</v>
      </c>
      <c r="F427" s="4">
        <v>1.97</v>
      </c>
      <c r="G427" s="6">
        <f t="shared" si="12"/>
        <v>5</v>
      </c>
      <c r="H427" s="3" t="str">
        <f t="shared" si="13"/>
        <v>★★★★★</v>
      </c>
    </row>
    <row r="428" spans="1:8" x14ac:dyDescent="0.25">
      <c r="A428" s="4" t="s">
        <v>342</v>
      </c>
      <c r="B428" s="4" t="s">
        <v>72</v>
      </c>
      <c r="C428" s="4" t="s">
        <v>476</v>
      </c>
      <c r="D428" s="4" t="s">
        <v>87</v>
      </c>
      <c r="E428" s="4">
        <v>29</v>
      </c>
      <c r="F428" s="4">
        <v>1.57</v>
      </c>
      <c r="G428" s="6">
        <f t="shared" si="12"/>
        <v>4</v>
      </c>
      <c r="H428" s="3" t="str">
        <f t="shared" si="13"/>
        <v>★★★★</v>
      </c>
    </row>
    <row r="429" spans="1:8" x14ac:dyDescent="0.25">
      <c r="A429" s="4" t="s">
        <v>73</v>
      </c>
      <c r="B429" s="4" t="s">
        <v>17</v>
      </c>
      <c r="C429" s="4" t="s">
        <v>109</v>
      </c>
      <c r="D429" s="4" t="s">
        <v>58</v>
      </c>
      <c r="E429" s="4">
        <v>21</v>
      </c>
      <c r="F429" s="4">
        <v>1</v>
      </c>
      <c r="G429" s="6">
        <f t="shared" si="12"/>
        <v>3</v>
      </c>
      <c r="H429" s="3" t="str">
        <f t="shared" si="13"/>
        <v>★★★</v>
      </c>
    </row>
    <row r="430" spans="1:8" x14ac:dyDescent="0.25">
      <c r="A430" s="4" t="s">
        <v>343</v>
      </c>
      <c r="B430" s="4" t="s">
        <v>331</v>
      </c>
      <c r="C430" s="4" t="s">
        <v>476</v>
      </c>
      <c r="D430" s="4" t="s">
        <v>30</v>
      </c>
      <c r="E430" s="4">
        <v>30</v>
      </c>
      <c r="F430" s="4">
        <v>1.33</v>
      </c>
      <c r="G430" s="6">
        <f t="shared" si="12"/>
        <v>4</v>
      </c>
      <c r="H430" s="3" t="str">
        <f t="shared" si="13"/>
        <v>★★★★</v>
      </c>
    </row>
    <row r="431" spans="1:8" x14ac:dyDescent="0.25">
      <c r="A431" s="4" t="s">
        <v>344</v>
      </c>
      <c r="B431" s="4" t="s">
        <v>29</v>
      </c>
      <c r="C431" s="4" t="s">
        <v>584</v>
      </c>
      <c r="D431" s="4" t="s">
        <v>15</v>
      </c>
      <c r="E431" s="4">
        <v>35</v>
      </c>
      <c r="F431" s="4">
        <v>2.63</v>
      </c>
      <c r="G431" s="6">
        <f t="shared" si="12"/>
        <v>5</v>
      </c>
      <c r="H431" s="3" t="str">
        <f t="shared" si="13"/>
        <v>★★★★★</v>
      </c>
    </row>
    <row r="432" spans="1:8" x14ac:dyDescent="0.25">
      <c r="A432" s="4" t="s">
        <v>345</v>
      </c>
      <c r="B432" s="4" t="s">
        <v>122</v>
      </c>
      <c r="C432" s="4" t="s">
        <v>109</v>
      </c>
      <c r="D432" s="4" t="s">
        <v>27</v>
      </c>
      <c r="E432" s="4">
        <v>26</v>
      </c>
      <c r="F432" s="4">
        <v>1.62</v>
      </c>
      <c r="G432" s="6">
        <f t="shared" si="12"/>
        <v>4</v>
      </c>
      <c r="H432" s="3" t="str">
        <f t="shared" si="13"/>
        <v>★★★★</v>
      </c>
    </row>
    <row r="433" spans="1:8" x14ac:dyDescent="0.25">
      <c r="A433" s="4" t="s">
        <v>525</v>
      </c>
      <c r="B433" s="4" t="s">
        <v>434</v>
      </c>
      <c r="C433" s="4" t="s">
        <v>116</v>
      </c>
      <c r="D433" s="4" t="s">
        <v>15</v>
      </c>
      <c r="E433" s="4">
        <v>26</v>
      </c>
      <c r="F433" s="4">
        <v>2.5499999999999998</v>
      </c>
      <c r="G433" s="6">
        <f t="shared" si="12"/>
        <v>5</v>
      </c>
      <c r="H433" s="3" t="str">
        <f t="shared" si="13"/>
        <v>★★★★★</v>
      </c>
    </row>
    <row r="434" spans="1:8" x14ac:dyDescent="0.25">
      <c r="A434" s="4" t="s">
        <v>346</v>
      </c>
      <c r="B434" s="4" t="s">
        <v>29</v>
      </c>
      <c r="C434" s="4" t="s">
        <v>109</v>
      </c>
      <c r="D434" s="4" t="s">
        <v>69</v>
      </c>
      <c r="E434" s="4">
        <v>28</v>
      </c>
      <c r="F434" s="4">
        <v>1.22</v>
      </c>
      <c r="G434" s="6">
        <f t="shared" si="12"/>
        <v>3</v>
      </c>
      <c r="H434" s="3" t="str">
        <f t="shared" si="13"/>
        <v>★★★</v>
      </c>
    </row>
    <row r="435" spans="1:8" x14ac:dyDescent="0.25">
      <c r="A435" s="4" t="s">
        <v>347</v>
      </c>
      <c r="B435" s="4" t="s">
        <v>29</v>
      </c>
      <c r="C435" s="4" t="s">
        <v>676</v>
      </c>
      <c r="D435" s="4" t="s">
        <v>30</v>
      </c>
      <c r="E435" s="4">
        <v>21</v>
      </c>
      <c r="F435" s="4">
        <v>1.22</v>
      </c>
      <c r="G435" s="6">
        <f t="shared" si="12"/>
        <v>3</v>
      </c>
      <c r="H435" s="3" t="str">
        <f t="shared" si="13"/>
        <v>★★★</v>
      </c>
    </row>
    <row r="436" spans="1:8" x14ac:dyDescent="0.25">
      <c r="A436" s="4" t="s">
        <v>526</v>
      </c>
      <c r="B436" s="4" t="s">
        <v>41</v>
      </c>
      <c r="C436" s="4" t="s">
        <v>476</v>
      </c>
      <c r="D436" s="4" t="s">
        <v>85</v>
      </c>
      <c r="E436" s="4">
        <v>22</v>
      </c>
      <c r="F436" s="4">
        <v>1.18</v>
      </c>
      <c r="G436" s="6">
        <f t="shared" si="12"/>
        <v>3</v>
      </c>
      <c r="H436" s="3" t="str">
        <f t="shared" si="13"/>
        <v>★★★</v>
      </c>
    </row>
    <row r="437" spans="1:8" x14ac:dyDescent="0.25">
      <c r="A437" s="4" t="s">
        <v>774</v>
      </c>
      <c r="B437" s="4" t="s">
        <v>29</v>
      </c>
      <c r="C437" s="4" t="s">
        <v>116</v>
      </c>
      <c r="D437" s="4" t="s">
        <v>58</v>
      </c>
      <c r="E437" s="4">
        <v>17</v>
      </c>
      <c r="F437" s="4">
        <v>0</v>
      </c>
      <c r="G437" s="6">
        <f t="shared" si="12"/>
        <v>1</v>
      </c>
      <c r="H437" s="3" t="str">
        <f t="shared" si="13"/>
        <v>★</v>
      </c>
    </row>
    <row r="438" spans="1:8" x14ac:dyDescent="0.25">
      <c r="A438" s="4" t="s">
        <v>638</v>
      </c>
      <c r="B438" s="4" t="s">
        <v>14</v>
      </c>
      <c r="C438" s="4" t="s">
        <v>109</v>
      </c>
      <c r="D438" s="4" t="s">
        <v>69</v>
      </c>
      <c r="E438" s="4">
        <v>24</v>
      </c>
      <c r="F438" s="4">
        <v>3</v>
      </c>
      <c r="G438" s="6">
        <f t="shared" si="12"/>
        <v>5</v>
      </c>
      <c r="H438" s="3" t="str">
        <f t="shared" si="13"/>
        <v>★★★★★</v>
      </c>
    </row>
    <row r="439" spans="1:8" x14ac:dyDescent="0.25">
      <c r="A439" s="4" t="s">
        <v>775</v>
      </c>
      <c r="B439" s="4" t="s">
        <v>29</v>
      </c>
      <c r="C439" s="4" t="s">
        <v>476</v>
      </c>
      <c r="D439" s="4" t="s">
        <v>24</v>
      </c>
      <c r="E439" s="4">
        <v>19</v>
      </c>
      <c r="F439" s="4">
        <v>0</v>
      </c>
      <c r="G439" s="6">
        <f t="shared" si="12"/>
        <v>1</v>
      </c>
      <c r="H439" s="3" t="str">
        <f t="shared" si="13"/>
        <v>★</v>
      </c>
    </row>
    <row r="440" spans="1:8" x14ac:dyDescent="0.25">
      <c r="A440" s="4" t="s">
        <v>348</v>
      </c>
      <c r="B440" s="4" t="s">
        <v>29</v>
      </c>
      <c r="C440" s="4" t="s">
        <v>476</v>
      </c>
      <c r="D440" s="4" t="s">
        <v>15</v>
      </c>
      <c r="E440" s="4">
        <v>18</v>
      </c>
      <c r="F440" s="4">
        <v>2</v>
      </c>
      <c r="G440" s="6">
        <f t="shared" si="12"/>
        <v>5</v>
      </c>
      <c r="H440" s="3" t="str">
        <f t="shared" si="13"/>
        <v>★★★★★</v>
      </c>
    </row>
    <row r="441" spans="1:8" x14ac:dyDescent="0.25">
      <c r="A441" s="4" t="s">
        <v>776</v>
      </c>
      <c r="B441" s="4" t="s">
        <v>122</v>
      </c>
      <c r="C441" s="4" t="s">
        <v>476</v>
      </c>
      <c r="D441" s="4" t="s">
        <v>81</v>
      </c>
      <c r="E441" s="4">
        <v>20</v>
      </c>
      <c r="F441" s="4">
        <v>0</v>
      </c>
      <c r="G441" s="6">
        <f t="shared" si="12"/>
        <v>1</v>
      </c>
      <c r="H441" s="3" t="str">
        <f t="shared" si="13"/>
        <v>★</v>
      </c>
    </row>
    <row r="442" spans="1:8" x14ac:dyDescent="0.25">
      <c r="A442" s="4" t="s">
        <v>777</v>
      </c>
      <c r="B442" s="4" t="s">
        <v>29</v>
      </c>
      <c r="C442" s="4" t="s">
        <v>109</v>
      </c>
      <c r="D442" s="4" t="s">
        <v>81</v>
      </c>
      <c r="E442" s="4">
        <v>19</v>
      </c>
      <c r="F442" s="4">
        <v>0</v>
      </c>
      <c r="G442" s="6">
        <f t="shared" si="12"/>
        <v>1</v>
      </c>
      <c r="H442" s="3" t="str">
        <f t="shared" si="13"/>
        <v>★</v>
      </c>
    </row>
    <row r="443" spans="1:8" x14ac:dyDescent="0.25">
      <c r="A443" s="4" t="s">
        <v>527</v>
      </c>
      <c r="B443" s="4" t="s">
        <v>29</v>
      </c>
      <c r="C443" s="4" t="s">
        <v>116</v>
      </c>
      <c r="D443" s="4" t="s">
        <v>21</v>
      </c>
      <c r="E443" s="4">
        <v>22</v>
      </c>
      <c r="F443" s="4">
        <v>1.97</v>
      </c>
      <c r="G443" s="6">
        <f t="shared" si="12"/>
        <v>5</v>
      </c>
      <c r="H443" s="3" t="str">
        <f t="shared" si="13"/>
        <v>★★★★★</v>
      </c>
    </row>
    <row r="444" spans="1:8" x14ac:dyDescent="0.25">
      <c r="A444" s="4" t="s">
        <v>528</v>
      </c>
      <c r="B444" s="4" t="s">
        <v>14</v>
      </c>
      <c r="C444" s="4" t="s">
        <v>109</v>
      </c>
      <c r="D444" s="4" t="s">
        <v>65</v>
      </c>
      <c r="E444" s="4">
        <v>28</v>
      </c>
      <c r="F444" s="4">
        <v>1.88</v>
      </c>
      <c r="G444" s="6">
        <f t="shared" si="12"/>
        <v>5</v>
      </c>
      <c r="H444" s="3" t="str">
        <f t="shared" si="13"/>
        <v>★★★★★</v>
      </c>
    </row>
    <row r="445" spans="1:8" x14ac:dyDescent="0.25">
      <c r="A445" s="4" t="s">
        <v>349</v>
      </c>
      <c r="B445" s="4" t="s">
        <v>83</v>
      </c>
      <c r="C445" s="4" t="s">
        <v>471</v>
      </c>
      <c r="D445" s="4" t="s">
        <v>81</v>
      </c>
      <c r="E445" s="4">
        <v>34</v>
      </c>
      <c r="F445" s="4">
        <v>1.37</v>
      </c>
      <c r="G445" s="6">
        <f t="shared" si="12"/>
        <v>4</v>
      </c>
      <c r="H445" s="3" t="str">
        <f t="shared" si="13"/>
        <v>★★★★</v>
      </c>
    </row>
    <row r="446" spans="1:8" x14ac:dyDescent="0.25">
      <c r="A446" s="4" t="s">
        <v>350</v>
      </c>
      <c r="B446" s="4" t="s">
        <v>29</v>
      </c>
      <c r="C446" s="4" t="s">
        <v>676</v>
      </c>
      <c r="D446" s="4" t="s">
        <v>50</v>
      </c>
      <c r="E446" s="4">
        <v>19</v>
      </c>
      <c r="F446" s="4">
        <v>0</v>
      </c>
      <c r="G446" s="6">
        <f t="shared" si="12"/>
        <v>1</v>
      </c>
      <c r="H446" s="3" t="str">
        <f t="shared" si="13"/>
        <v>★</v>
      </c>
    </row>
    <row r="447" spans="1:8" x14ac:dyDescent="0.25">
      <c r="A447" s="4" t="s">
        <v>351</v>
      </c>
      <c r="B447" s="4" t="s">
        <v>29</v>
      </c>
      <c r="C447" s="4" t="s">
        <v>471</v>
      </c>
      <c r="D447" s="4" t="s">
        <v>35</v>
      </c>
      <c r="E447" s="4">
        <v>26</v>
      </c>
      <c r="F447" s="4">
        <v>1.24</v>
      </c>
      <c r="G447" s="6">
        <f t="shared" si="12"/>
        <v>3</v>
      </c>
      <c r="H447" s="3" t="str">
        <f t="shared" si="13"/>
        <v>★★★</v>
      </c>
    </row>
    <row r="448" spans="1:8" x14ac:dyDescent="0.25">
      <c r="A448" s="4" t="s">
        <v>529</v>
      </c>
      <c r="B448" s="4" t="s">
        <v>530</v>
      </c>
      <c r="C448" s="4" t="s">
        <v>109</v>
      </c>
      <c r="D448" s="4" t="s">
        <v>85</v>
      </c>
      <c r="E448" s="4">
        <v>23</v>
      </c>
      <c r="F448" s="4">
        <v>1.83</v>
      </c>
      <c r="G448" s="6">
        <f t="shared" si="12"/>
        <v>5</v>
      </c>
      <c r="H448" s="3" t="str">
        <f t="shared" si="13"/>
        <v>★★★★★</v>
      </c>
    </row>
    <row r="449" spans="1:8" x14ac:dyDescent="0.25">
      <c r="A449" s="4" t="s">
        <v>352</v>
      </c>
      <c r="B449" s="4" t="s">
        <v>353</v>
      </c>
      <c r="C449" s="4" t="s">
        <v>109</v>
      </c>
      <c r="D449" s="4" t="s">
        <v>27</v>
      </c>
      <c r="E449" s="4">
        <v>22</v>
      </c>
      <c r="F449" s="4">
        <v>1.08</v>
      </c>
      <c r="G449" s="6">
        <f t="shared" si="12"/>
        <v>3</v>
      </c>
      <c r="H449" s="3" t="str">
        <f t="shared" si="13"/>
        <v>★★★</v>
      </c>
    </row>
    <row r="450" spans="1:8" x14ac:dyDescent="0.25">
      <c r="A450" s="4" t="s">
        <v>354</v>
      </c>
      <c r="B450" s="4" t="s">
        <v>355</v>
      </c>
      <c r="C450" s="4" t="s">
        <v>171</v>
      </c>
      <c r="D450" s="4" t="s">
        <v>69</v>
      </c>
      <c r="E450" s="4">
        <v>27</v>
      </c>
      <c r="F450" s="4">
        <v>0.94</v>
      </c>
      <c r="G450" s="6">
        <f t="shared" si="12"/>
        <v>3</v>
      </c>
      <c r="H450" s="3" t="str">
        <f t="shared" si="13"/>
        <v>★★★</v>
      </c>
    </row>
    <row r="451" spans="1:8" x14ac:dyDescent="0.25">
      <c r="A451" s="4" t="s">
        <v>356</v>
      </c>
      <c r="B451" s="4" t="s">
        <v>219</v>
      </c>
      <c r="C451" s="4" t="s">
        <v>109</v>
      </c>
      <c r="D451" s="4" t="s">
        <v>87</v>
      </c>
      <c r="E451" s="4">
        <v>24</v>
      </c>
      <c r="F451" s="4">
        <v>1.32</v>
      </c>
      <c r="G451" s="6">
        <f t="shared" ref="G451:G514" si="14">VLOOKUP(F451,$K$10:$M$15,3,1)</f>
        <v>4</v>
      </c>
      <c r="H451" s="3" t="str">
        <f t="shared" ref="H451:H514" si="15">_xlfn.IFS(G451=0,"☆",G451=0.5,"½", G451=1,"★",G451 =1.5,"★½", G451 =2.5,"★★½", G451=2,"★★", G451=3,"★★★", G451 =3.5,"★★★½",G451=4,"★★★★", G451 =4.5,"★★★★½", G451=5,"★★★★★")</f>
        <v>★★★★</v>
      </c>
    </row>
    <row r="452" spans="1:8" x14ac:dyDescent="0.25">
      <c r="A452" s="4" t="s">
        <v>357</v>
      </c>
      <c r="B452" s="4" t="s">
        <v>17</v>
      </c>
      <c r="C452" s="4" t="s">
        <v>116</v>
      </c>
      <c r="D452" s="4" t="s">
        <v>65</v>
      </c>
      <c r="E452" s="4">
        <v>24</v>
      </c>
      <c r="F452" s="4">
        <v>1.22</v>
      </c>
      <c r="G452" s="6">
        <f t="shared" si="14"/>
        <v>3</v>
      </c>
      <c r="H452" s="3" t="str">
        <f t="shared" si="15"/>
        <v>★★★</v>
      </c>
    </row>
    <row r="453" spans="1:8" x14ac:dyDescent="0.25">
      <c r="A453" s="4" t="s">
        <v>778</v>
      </c>
      <c r="B453" s="4" t="s">
        <v>127</v>
      </c>
      <c r="C453" s="4" t="s">
        <v>584</v>
      </c>
      <c r="D453" s="4" t="s">
        <v>87</v>
      </c>
      <c r="E453" s="4">
        <v>17</v>
      </c>
      <c r="F453" s="4">
        <v>0</v>
      </c>
      <c r="G453" s="6">
        <f t="shared" si="14"/>
        <v>1</v>
      </c>
      <c r="H453" s="3" t="str">
        <f t="shared" si="15"/>
        <v>★</v>
      </c>
    </row>
    <row r="454" spans="1:8" x14ac:dyDescent="0.25">
      <c r="A454" s="4" t="s">
        <v>639</v>
      </c>
      <c r="B454" s="4" t="s">
        <v>29</v>
      </c>
      <c r="C454" s="4" t="s">
        <v>109</v>
      </c>
      <c r="D454" s="4" t="s">
        <v>63</v>
      </c>
      <c r="E454" s="4">
        <v>21</v>
      </c>
      <c r="F454" s="4">
        <v>0</v>
      </c>
      <c r="G454" s="6">
        <f t="shared" si="14"/>
        <v>1</v>
      </c>
      <c r="H454" s="3" t="str">
        <f t="shared" si="15"/>
        <v>★</v>
      </c>
    </row>
    <row r="455" spans="1:8" x14ac:dyDescent="0.25">
      <c r="A455" s="4" t="s">
        <v>531</v>
      </c>
      <c r="B455" s="4" t="s">
        <v>83</v>
      </c>
      <c r="C455" s="4" t="s">
        <v>471</v>
      </c>
      <c r="D455" s="4" t="s">
        <v>81</v>
      </c>
      <c r="E455" s="4">
        <v>21</v>
      </c>
      <c r="F455" s="4">
        <v>0.85</v>
      </c>
      <c r="G455" s="6">
        <f t="shared" si="14"/>
        <v>2</v>
      </c>
      <c r="H455" s="3" t="str">
        <f t="shared" si="15"/>
        <v>★★</v>
      </c>
    </row>
    <row r="456" spans="1:8" x14ac:dyDescent="0.25">
      <c r="A456" s="4" t="s">
        <v>358</v>
      </c>
      <c r="B456" s="4" t="s">
        <v>83</v>
      </c>
      <c r="C456" s="4" t="s">
        <v>584</v>
      </c>
      <c r="D456" s="4" t="s">
        <v>81</v>
      </c>
      <c r="E456" s="4">
        <v>24</v>
      </c>
      <c r="F456" s="4">
        <v>1.33</v>
      </c>
      <c r="G456" s="6">
        <f t="shared" si="14"/>
        <v>4</v>
      </c>
      <c r="H456" s="3" t="str">
        <f t="shared" si="15"/>
        <v>★★★★</v>
      </c>
    </row>
    <row r="457" spans="1:8" x14ac:dyDescent="0.25">
      <c r="A457" s="4" t="s">
        <v>359</v>
      </c>
      <c r="B457" s="4" t="s">
        <v>29</v>
      </c>
      <c r="C457" s="4" t="s">
        <v>109</v>
      </c>
      <c r="D457" s="4" t="s">
        <v>24</v>
      </c>
      <c r="E457" s="4">
        <v>20</v>
      </c>
      <c r="F457" s="4">
        <v>0.63</v>
      </c>
      <c r="G457" s="6">
        <f t="shared" si="14"/>
        <v>2</v>
      </c>
      <c r="H457" s="3" t="str">
        <f t="shared" si="15"/>
        <v>★★</v>
      </c>
    </row>
    <row r="458" spans="1:8" x14ac:dyDescent="0.25">
      <c r="A458" s="4" t="s">
        <v>360</v>
      </c>
      <c r="B458" s="4" t="s">
        <v>20</v>
      </c>
      <c r="C458" s="4" t="s">
        <v>584</v>
      </c>
      <c r="D458" s="4" t="s">
        <v>21</v>
      </c>
      <c r="E458" s="4">
        <v>26</v>
      </c>
      <c r="F458" s="4">
        <v>2.4</v>
      </c>
      <c r="G458" s="6">
        <f t="shared" si="14"/>
        <v>5</v>
      </c>
      <c r="H458" s="3" t="str">
        <f t="shared" si="15"/>
        <v>★★★★★</v>
      </c>
    </row>
    <row r="459" spans="1:8" x14ac:dyDescent="0.25">
      <c r="A459" s="4" t="s">
        <v>640</v>
      </c>
      <c r="B459" s="4" t="s">
        <v>29</v>
      </c>
      <c r="C459" s="4" t="s">
        <v>116</v>
      </c>
      <c r="D459" s="4" t="s">
        <v>63</v>
      </c>
      <c r="E459" s="4">
        <v>22</v>
      </c>
      <c r="F459" s="4">
        <v>1.76</v>
      </c>
      <c r="G459" s="6">
        <f t="shared" si="14"/>
        <v>5</v>
      </c>
      <c r="H459" s="3" t="str">
        <f t="shared" si="15"/>
        <v>★★★★★</v>
      </c>
    </row>
    <row r="460" spans="1:8" x14ac:dyDescent="0.25">
      <c r="A460" s="4" t="s">
        <v>361</v>
      </c>
      <c r="B460" s="4" t="s">
        <v>333</v>
      </c>
      <c r="C460" s="4" t="s">
        <v>116</v>
      </c>
      <c r="D460" s="4" t="s">
        <v>24</v>
      </c>
      <c r="E460" s="4">
        <v>31</v>
      </c>
      <c r="F460" s="4">
        <v>2</v>
      </c>
      <c r="G460" s="6">
        <f t="shared" si="14"/>
        <v>5</v>
      </c>
      <c r="H460" s="3" t="str">
        <f t="shared" si="15"/>
        <v>★★★★★</v>
      </c>
    </row>
    <row r="461" spans="1:8" x14ac:dyDescent="0.25">
      <c r="A461" s="4" t="s">
        <v>779</v>
      </c>
      <c r="B461" s="4" t="s">
        <v>17</v>
      </c>
      <c r="C461" s="4" t="s">
        <v>471</v>
      </c>
      <c r="D461" s="4" t="s">
        <v>27</v>
      </c>
      <c r="E461" s="4">
        <v>20</v>
      </c>
      <c r="F461" s="4">
        <v>0</v>
      </c>
      <c r="G461" s="6">
        <f t="shared" si="14"/>
        <v>1</v>
      </c>
      <c r="H461" s="3" t="str">
        <f t="shared" si="15"/>
        <v>★</v>
      </c>
    </row>
    <row r="462" spans="1:8" x14ac:dyDescent="0.25">
      <c r="A462" s="4" t="s">
        <v>362</v>
      </c>
      <c r="B462" s="4" t="s">
        <v>29</v>
      </c>
      <c r="C462" s="4" t="s">
        <v>471</v>
      </c>
      <c r="D462" s="4" t="s">
        <v>18</v>
      </c>
      <c r="E462" s="4">
        <v>34</v>
      </c>
      <c r="F462" s="4">
        <v>1.45</v>
      </c>
      <c r="G462" s="6">
        <f t="shared" si="14"/>
        <v>4</v>
      </c>
      <c r="H462" s="3" t="str">
        <f t="shared" si="15"/>
        <v>★★★★</v>
      </c>
    </row>
    <row r="463" spans="1:8" x14ac:dyDescent="0.25">
      <c r="A463" s="4" t="s">
        <v>363</v>
      </c>
      <c r="B463" s="4" t="s">
        <v>67</v>
      </c>
      <c r="C463" s="4" t="s">
        <v>109</v>
      </c>
      <c r="D463" s="4" t="s">
        <v>43</v>
      </c>
      <c r="E463" s="4">
        <v>27</v>
      </c>
      <c r="F463" s="4">
        <v>1.29</v>
      </c>
      <c r="G463" s="6">
        <f t="shared" si="14"/>
        <v>4</v>
      </c>
      <c r="H463" s="3" t="str">
        <f t="shared" si="15"/>
        <v>★★★★</v>
      </c>
    </row>
    <row r="464" spans="1:8" x14ac:dyDescent="0.25">
      <c r="A464" s="4" t="s">
        <v>364</v>
      </c>
      <c r="B464" s="4" t="s">
        <v>57</v>
      </c>
      <c r="C464" s="4" t="s">
        <v>228</v>
      </c>
      <c r="D464" s="4" t="s">
        <v>50</v>
      </c>
      <c r="E464" s="4">
        <v>25</v>
      </c>
      <c r="F464" s="4">
        <v>0.65</v>
      </c>
      <c r="G464" s="6">
        <f t="shared" si="14"/>
        <v>2</v>
      </c>
      <c r="H464" s="3" t="str">
        <f t="shared" si="15"/>
        <v>★★</v>
      </c>
    </row>
    <row r="465" spans="1:8" x14ac:dyDescent="0.25">
      <c r="A465" s="4" t="s">
        <v>780</v>
      </c>
      <c r="B465" s="4" t="s">
        <v>29</v>
      </c>
      <c r="C465" s="4" t="s">
        <v>116</v>
      </c>
      <c r="D465" s="4" t="s">
        <v>53</v>
      </c>
      <c r="E465" s="4">
        <v>27</v>
      </c>
      <c r="F465" s="4">
        <v>0</v>
      </c>
      <c r="G465" s="6">
        <f t="shared" si="14"/>
        <v>1</v>
      </c>
      <c r="H465" s="3" t="str">
        <f t="shared" si="15"/>
        <v>★</v>
      </c>
    </row>
    <row r="466" spans="1:8" x14ac:dyDescent="0.25">
      <c r="A466" s="4" t="s">
        <v>781</v>
      </c>
      <c r="B466" s="4" t="s">
        <v>29</v>
      </c>
      <c r="C466" s="4" t="s">
        <v>116</v>
      </c>
      <c r="D466" s="4" t="s">
        <v>69</v>
      </c>
      <c r="E466" s="4">
        <v>17</v>
      </c>
      <c r="F466" s="4">
        <v>0</v>
      </c>
      <c r="G466" s="6">
        <f t="shared" si="14"/>
        <v>1</v>
      </c>
      <c r="H466" s="3" t="str">
        <f t="shared" si="15"/>
        <v>★</v>
      </c>
    </row>
    <row r="467" spans="1:8" x14ac:dyDescent="0.25">
      <c r="A467" s="4" t="s">
        <v>365</v>
      </c>
      <c r="B467" s="4" t="s">
        <v>57</v>
      </c>
      <c r="C467" s="4" t="s">
        <v>109</v>
      </c>
      <c r="D467" s="4" t="s">
        <v>63</v>
      </c>
      <c r="E467" s="4">
        <v>22</v>
      </c>
      <c r="F467" s="4">
        <v>1.92</v>
      </c>
      <c r="G467" s="6">
        <f t="shared" si="14"/>
        <v>5</v>
      </c>
      <c r="H467" s="3" t="str">
        <f t="shared" si="15"/>
        <v>★★★★★</v>
      </c>
    </row>
    <row r="468" spans="1:8" x14ac:dyDescent="0.25">
      <c r="A468" s="4" t="s">
        <v>782</v>
      </c>
      <c r="B468" s="4" t="s">
        <v>29</v>
      </c>
      <c r="C468" s="4" t="s">
        <v>476</v>
      </c>
      <c r="D468" s="4" t="s">
        <v>85</v>
      </c>
      <c r="E468" s="4">
        <v>18</v>
      </c>
      <c r="F468" s="4">
        <v>0</v>
      </c>
      <c r="G468" s="6">
        <f t="shared" si="14"/>
        <v>1</v>
      </c>
      <c r="H468" s="3" t="str">
        <f t="shared" si="15"/>
        <v>★</v>
      </c>
    </row>
    <row r="469" spans="1:8" x14ac:dyDescent="0.25">
      <c r="A469" s="4" t="s">
        <v>366</v>
      </c>
      <c r="B469" s="4" t="s">
        <v>276</v>
      </c>
      <c r="C469" s="4" t="s">
        <v>676</v>
      </c>
      <c r="D469" s="4" t="s">
        <v>18</v>
      </c>
      <c r="E469" s="4">
        <v>33</v>
      </c>
      <c r="F469" s="4">
        <v>2.09</v>
      </c>
      <c r="G469" s="6">
        <f t="shared" si="14"/>
        <v>5</v>
      </c>
      <c r="H469" s="3" t="str">
        <f t="shared" si="15"/>
        <v>★★★★★</v>
      </c>
    </row>
    <row r="470" spans="1:8" x14ac:dyDescent="0.25">
      <c r="A470" s="4" t="s">
        <v>783</v>
      </c>
      <c r="B470" s="4" t="s">
        <v>55</v>
      </c>
      <c r="C470" s="4" t="s">
        <v>676</v>
      </c>
      <c r="D470" s="4" t="s">
        <v>63</v>
      </c>
      <c r="E470" s="4">
        <v>18</v>
      </c>
      <c r="F470" s="4">
        <v>0</v>
      </c>
      <c r="G470" s="6">
        <f t="shared" si="14"/>
        <v>1</v>
      </c>
      <c r="H470" s="3" t="str">
        <f t="shared" si="15"/>
        <v>★</v>
      </c>
    </row>
    <row r="471" spans="1:8" x14ac:dyDescent="0.25">
      <c r="A471" s="4" t="s">
        <v>784</v>
      </c>
      <c r="B471" s="4" t="s">
        <v>55</v>
      </c>
      <c r="C471" s="4" t="s">
        <v>676</v>
      </c>
      <c r="D471" s="4" t="s">
        <v>18</v>
      </c>
      <c r="E471" s="4">
        <v>19</v>
      </c>
      <c r="F471" s="4">
        <v>0</v>
      </c>
      <c r="G471" s="6">
        <f t="shared" si="14"/>
        <v>1</v>
      </c>
      <c r="H471" s="3" t="str">
        <f t="shared" si="15"/>
        <v>★</v>
      </c>
    </row>
    <row r="472" spans="1:8" x14ac:dyDescent="0.25">
      <c r="A472" s="4" t="s">
        <v>785</v>
      </c>
      <c r="B472" s="4" t="s">
        <v>29</v>
      </c>
      <c r="C472" s="4" t="s">
        <v>116</v>
      </c>
      <c r="D472" s="4" t="s">
        <v>63</v>
      </c>
      <c r="E472" s="4">
        <v>19</v>
      </c>
      <c r="F472" s="4">
        <v>0</v>
      </c>
      <c r="G472" s="6">
        <f t="shared" si="14"/>
        <v>1</v>
      </c>
      <c r="H472" s="3" t="str">
        <f t="shared" si="15"/>
        <v>★</v>
      </c>
    </row>
    <row r="473" spans="1:8" x14ac:dyDescent="0.25">
      <c r="A473" s="4" t="s">
        <v>532</v>
      </c>
      <c r="B473" s="4" t="s">
        <v>17</v>
      </c>
      <c r="C473" s="4" t="s">
        <v>109</v>
      </c>
      <c r="D473" s="4" t="s">
        <v>30</v>
      </c>
      <c r="E473" s="4">
        <v>19</v>
      </c>
      <c r="F473" s="4">
        <v>1.23</v>
      </c>
      <c r="G473" s="6">
        <f t="shared" si="14"/>
        <v>3</v>
      </c>
      <c r="H473" s="3" t="str">
        <f t="shared" si="15"/>
        <v>★★★</v>
      </c>
    </row>
    <row r="474" spans="1:8" x14ac:dyDescent="0.25">
      <c r="A474" s="4" t="s">
        <v>74</v>
      </c>
      <c r="B474" s="4" t="s">
        <v>75</v>
      </c>
      <c r="C474" s="4" t="s">
        <v>584</v>
      </c>
      <c r="D474" s="4" t="s">
        <v>69</v>
      </c>
      <c r="E474" s="4">
        <v>31</v>
      </c>
      <c r="F474" s="4">
        <v>0</v>
      </c>
      <c r="G474" s="6">
        <f t="shared" si="14"/>
        <v>1</v>
      </c>
      <c r="H474" s="3" t="str">
        <f t="shared" si="15"/>
        <v>★</v>
      </c>
    </row>
    <row r="475" spans="1:8" x14ac:dyDescent="0.25">
      <c r="A475" s="4" t="s">
        <v>367</v>
      </c>
      <c r="B475" s="4" t="s">
        <v>55</v>
      </c>
      <c r="C475" s="4" t="s">
        <v>109</v>
      </c>
      <c r="D475" s="4" t="s">
        <v>50</v>
      </c>
      <c r="E475" s="4">
        <v>19</v>
      </c>
      <c r="F475" s="4">
        <v>0.6</v>
      </c>
      <c r="G475" s="6">
        <f t="shared" si="14"/>
        <v>2</v>
      </c>
      <c r="H475" s="3" t="str">
        <f t="shared" si="15"/>
        <v>★★</v>
      </c>
    </row>
    <row r="476" spans="1:8" x14ac:dyDescent="0.25">
      <c r="A476" s="4" t="s">
        <v>786</v>
      </c>
      <c r="B476" s="4" t="s">
        <v>29</v>
      </c>
      <c r="C476" s="4" t="s">
        <v>109</v>
      </c>
      <c r="D476" s="4" t="s">
        <v>65</v>
      </c>
      <c r="E476" s="4">
        <v>21</v>
      </c>
      <c r="F476" s="4">
        <v>0</v>
      </c>
      <c r="G476" s="6">
        <f t="shared" si="14"/>
        <v>1</v>
      </c>
      <c r="H476" s="3" t="str">
        <f t="shared" si="15"/>
        <v>★</v>
      </c>
    </row>
    <row r="477" spans="1:8" x14ac:dyDescent="0.25">
      <c r="A477" s="4" t="s">
        <v>533</v>
      </c>
      <c r="B477" s="4" t="s">
        <v>29</v>
      </c>
      <c r="C477" s="4" t="s">
        <v>109</v>
      </c>
      <c r="D477" s="4" t="s">
        <v>27</v>
      </c>
      <c r="E477" s="4">
        <v>18</v>
      </c>
      <c r="F477" s="4">
        <v>0.33</v>
      </c>
      <c r="G477" s="6">
        <f t="shared" si="14"/>
        <v>2</v>
      </c>
      <c r="H477" s="3" t="str">
        <f t="shared" si="15"/>
        <v>★★</v>
      </c>
    </row>
    <row r="478" spans="1:8" x14ac:dyDescent="0.25">
      <c r="A478" s="4" t="s">
        <v>368</v>
      </c>
      <c r="B478" s="4" t="s">
        <v>219</v>
      </c>
      <c r="C478" s="4" t="s">
        <v>471</v>
      </c>
      <c r="D478" s="4" t="s">
        <v>43</v>
      </c>
      <c r="E478" s="4">
        <v>23</v>
      </c>
      <c r="F478" s="4">
        <v>1.4</v>
      </c>
      <c r="G478" s="6">
        <f t="shared" si="14"/>
        <v>4</v>
      </c>
      <c r="H478" s="3" t="str">
        <f t="shared" si="15"/>
        <v>★★★★</v>
      </c>
    </row>
    <row r="479" spans="1:8" x14ac:dyDescent="0.25">
      <c r="A479" s="4" t="s">
        <v>641</v>
      </c>
      <c r="B479" s="4" t="s">
        <v>162</v>
      </c>
      <c r="C479" s="4" t="s">
        <v>109</v>
      </c>
      <c r="D479" s="4" t="s">
        <v>15</v>
      </c>
      <c r="E479" s="4">
        <v>26</v>
      </c>
      <c r="F479" s="4">
        <v>2.57</v>
      </c>
      <c r="G479" s="6">
        <f t="shared" si="14"/>
        <v>5</v>
      </c>
      <c r="H479" s="3" t="str">
        <f t="shared" si="15"/>
        <v>★★★★★</v>
      </c>
    </row>
    <row r="480" spans="1:8" x14ac:dyDescent="0.25">
      <c r="A480" s="4" t="s">
        <v>787</v>
      </c>
      <c r="B480" s="4" t="s">
        <v>60</v>
      </c>
      <c r="C480" s="4" t="s">
        <v>109</v>
      </c>
      <c r="D480" s="4" t="s">
        <v>63</v>
      </c>
      <c r="E480" s="4">
        <v>17</v>
      </c>
      <c r="F480" s="4">
        <v>0</v>
      </c>
      <c r="G480" s="6">
        <f t="shared" si="14"/>
        <v>1</v>
      </c>
      <c r="H480" s="3" t="str">
        <f t="shared" si="15"/>
        <v>★</v>
      </c>
    </row>
    <row r="481" spans="1:8" x14ac:dyDescent="0.25">
      <c r="A481" s="4" t="s">
        <v>534</v>
      </c>
      <c r="B481" s="4" t="s">
        <v>29</v>
      </c>
      <c r="C481" s="4" t="s">
        <v>109</v>
      </c>
      <c r="D481" s="4" t="s">
        <v>15</v>
      </c>
      <c r="E481" s="4">
        <v>27</v>
      </c>
      <c r="F481" s="4">
        <v>2.41</v>
      </c>
      <c r="G481" s="6">
        <f t="shared" si="14"/>
        <v>5</v>
      </c>
      <c r="H481" s="3" t="str">
        <f t="shared" si="15"/>
        <v>★★★★★</v>
      </c>
    </row>
    <row r="482" spans="1:8" x14ac:dyDescent="0.25">
      <c r="A482" s="4" t="s">
        <v>535</v>
      </c>
      <c r="B482" s="4" t="s">
        <v>29</v>
      </c>
      <c r="C482" s="4" t="s">
        <v>109</v>
      </c>
      <c r="D482" s="4" t="s">
        <v>39</v>
      </c>
      <c r="E482" s="4">
        <v>19</v>
      </c>
      <c r="F482" s="4">
        <v>3</v>
      </c>
      <c r="G482" s="6">
        <f t="shared" si="14"/>
        <v>5</v>
      </c>
      <c r="H482" s="3" t="str">
        <f t="shared" si="15"/>
        <v>★★★★★</v>
      </c>
    </row>
    <row r="483" spans="1:8" x14ac:dyDescent="0.25">
      <c r="A483" s="4" t="s">
        <v>369</v>
      </c>
      <c r="B483" s="4" t="s">
        <v>276</v>
      </c>
      <c r="C483" s="4" t="s">
        <v>109</v>
      </c>
      <c r="D483" s="4" t="s">
        <v>21</v>
      </c>
      <c r="E483" s="4">
        <v>26</v>
      </c>
      <c r="F483" s="4">
        <v>3</v>
      </c>
      <c r="G483" s="6">
        <f t="shared" si="14"/>
        <v>5</v>
      </c>
      <c r="H483" s="3" t="str">
        <f t="shared" si="15"/>
        <v>★★★★★</v>
      </c>
    </row>
    <row r="484" spans="1:8" x14ac:dyDescent="0.25">
      <c r="A484" s="4" t="s">
        <v>370</v>
      </c>
      <c r="B484" s="4" t="s">
        <v>124</v>
      </c>
      <c r="C484" s="4" t="s">
        <v>109</v>
      </c>
      <c r="D484" s="4" t="s">
        <v>63</v>
      </c>
      <c r="E484" s="4">
        <v>28</v>
      </c>
      <c r="F484" s="4">
        <v>2.08</v>
      </c>
      <c r="G484" s="6">
        <f t="shared" si="14"/>
        <v>5</v>
      </c>
      <c r="H484" s="3" t="str">
        <f t="shared" si="15"/>
        <v>★★★★★</v>
      </c>
    </row>
    <row r="485" spans="1:8" x14ac:dyDescent="0.25">
      <c r="A485" s="4" t="s">
        <v>788</v>
      </c>
      <c r="B485" s="4" t="s">
        <v>29</v>
      </c>
      <c r="C485" s="4" t="s">
        <v>471</v>
      </c>
      <c r="D485" s="4" t="s">
        <v>63</v>
      </c>
      <c r="E485" s="4">
        <v>17</v>
      </c>
      <c r="F485" s="4">
        <v>0</v>
      </c>
      <c r="G485" s="6">
        <f t="shared" si="14"/>
        <v>1</v>
      </c>
      <c r="H485" s="3" t="str">
        <f t="shared" si="15"/>
        <v>★</v>
      </c>
    </row>
    <row r="486" spans="1:8" x14ac:dyDescent="0.25">
      <c r="A486" s="4" t="s">
        <v>789</v>
      </c>
      <c r="B486" s="4" t="s">
        <v>127</v>
      </c>
      <c r="C486" s="4" t="s">
        <v>109</v>
      </c>
      <c r="D486" s="4" t="s">
        <v>27</v>
      </c>
      <c r="E486" s="4">
        <v>19</v>
      </c>
      <c r="F486" s="4">
        <v>0</v>
      </c>
      <c r="G486" s="6">
        <f t="shared" si="14"/>
        <v>1</v>
      </c>
      <c r="H486" s="3" t="str">
        <f t="shared" si="15"/>
        <v>★</v>
      </c>
    </row>
    <row r="487" spans="1:8" x14ac:dyDescent="0.25">
      <c r="A487" s="4" t="s">
        <v>790</v>
      </c>
      <c r="B487" s="4" t="s">
        <v>29</v>
      </c>
      <c r="C487" s="4" t="s">
        <v>109</v>
      </c>
      <c r="D487" s="4" t="s">
        <v>43</v>
      </c>
      <c r="E487" s="4">
        <v>18</v>
      </c>
      <c r="F487" s="4">
        <v>0</v>
      </c>
      <c r="G487" s="6">
        <f t="shared" si="14"/>
        <v>1</v>
      </c>
      <c r="H487" s="3" t="str">
        <f t="shared" si="15"/>
        <v>★</v>
      </c>
    </row>
    <row r="488" spans="1:8" x14ac:dyDescent="0.25">
      <c r="A488" s="4" t="s">
        <v>536</v>
      </c>
      <c r="B488" s="4" t="s">
        <v>133</v>
      </c>
      <c r="C488" s="4" t="s">
        <v>109</v>
      </c>
      <c r="D488" s="4" t="s">
        <v>63</v>
      </c>
      <c r="E488" s="4">
        <v>26</v>
      </c>
      <c r="F488" s="4">
        <v>1.9</v>
      </c>
      <c r="G488" s="6">
        <f t="shared" si="14"/>
        <v>5</v>
      </c>
      <c r="H488" s="3" t="str">
        <f t="shared" si="15"/>
        <v>★★★★★</v>
      </c>
    </row>
    <row r="489" spans="1:8" x14ac:dyDescent="0.25">
      <c r="A489" s="4" t="s">
        <v>791</v>
      </c>
      <c r="B489" s="4" t="s">
        <v>14</v>
      </c>
      <c r="C489" s="4" t="s">
        <v>116</v>
      </c>
      <c r="D489" s="4" t="s">
        <v>47</v>
      </c>
      <c r="E489" s="4">
        <v>25</v>
      </c>
      <c r="F489" s="4">
        <v>0</v>
      </c>
      <c r="G489" s="6">
        <f t="shared" si="14"/>
        <v>1</v>
      </c>
      <c r="H489" s="3" t="str">
        <f t="shared" si="15"/>
        <v>★</v>
      </c>
    </row>
    <row r="490" spans="1:8" x14ac:dyDescent="0.25">
      <c r="A490" s="4" t="s">
        <v>371</v>
      </c>
      <c r="B490" s="4" t="s">
        <v>83</v>
      </c>
      <c r="C490" s="4" t="s">
        <v>109</v>
      </c>
      <c r="D490" s="4" t="s">
        <v>87</v>
      </c>
      <c r="E490" s="4">
        <v>27</v>
      </c>
      <c r="F490" s="4">
        <v>1.57</v>
      </c>
      <c r="G490" s="6">
        <f t="shared" si="14"/>
        <v>4</v>
      </c>
      <c r="H490" s="3" t="str">
        <f t="shared" si="15"/>
        <v>★★★★</v>
      </c>
    </row>
    <row r="491" spans="1:8" x14ac:dyDescent="0.25">
      <c r="A491" s="4" t="s">
        <v>537</v>
      </c>
      <c r="B491" s="4" t="s">
        <v>20</v>
      </c>
      <c r="C491" s="4" t="s">
        <v>109</v>
      </c>
      <c r="D491" s="4" t="s">
        <v>87</v>
      </c>
      <c r="E491" s="4">
        <v>28</v>
      </c>
      <c r="F491" s="4">
        <v>1.1399999999999999</v>
      </c>
      <c r="G491" s="6">
        <f t="shared" si="14"/>
        <v>3</v>
      </c>
      <c r="H491" s="3" t="str">
        <f t="shared" si="15"/>
        <v>★★★</v>
      </c>
    </row>
    <row r="492" spans="1:8" x14ac:dyDescent="0.25">
      <c r="A492" s="4" t="s">
        <v>642</v>
      </c>
      <c r="B492" s="4" t="s">
        <v>29</v>
      </c>
      <c r="C492" s="4" t="s">
        <v>109</v>
      </c>
      <c r="D492" s="4" t="s">
        <v>18</v>
      </c>
      <c r="E492" s="4">
        <v>17</v>
      </c>
      <c r="F492" s="4">
        <v>0</v>
      </c>
      <c r="G492" s="6">
        <f t="shared" si="14"/>
        <v>1</v>
      </c>
      <c r="H492" s="3" t="str">
        <f t="shared" si="15"/>
        <v>★</v>
      </c>
    </row>
    <row r="493" spans="1:8" x14ac:dyDescent="0.25">
      <c r="A493" s="4" t="s">
        <v>372</v>
      </c>
      <c r="B493" s="4" t="s">
        <v>17</v>
      </c>
      <c r="C493" s="4" t="s">
        <v>584</v>
      </c>
      <c r="D493" s="4" t="s">
        <v>33</v>
      </c>
      <c r="E493" s="4">
        <v>23</v>
      </c>
      <c r="F493" s="4">
        <v>1</v>
      </c>
      <c r="G493" s="6">
        <f t="shared" si="14"/>
        <v>3</v>
      </c>
      <c r="H493" s="3" t="str">
        <f t="shared" si="15"/>
        <v>★★★</v>
      </c>
    </row>
    <row r="494" spans="1:8" x14ac:dyDescent="0.25">
      <c r="A494" s="4" t="s">
        <v>373</v>
      </c>
      <c r="B494" s="4" t="s">
        <v>29</v>
      </c>
      <c r="C494" s="4" t="s">
        <v>584</v>
      </c>
      <c r="D494" s="4" t="s">
        <v>58</v>
      </c>
      <c r="E494" s="4">
        <v>25</v>
      </c>
      <c r="F494" s="4">
        <v>1.2</v>
      </c>
      <c r="G494" s="6">
        <f t="shared" si="14"/>
        <v>3</v>
      </c>
      <c r="H494" s="3" t="str">
        <f t="shared" si="15"/>
        <v>★★★</v>
      </c>
    </row>
    <row r="495" spans="1:8" x14ac:dyDescent="0.25">
      <c r="A495" s="4" t="s">
        <v>792</v>
      </c>
      <c r="B495" s="4" t="s">
        <v>29</v>
      </c>
      <c r="C495" s="4" t="s">
        <v>584</v>
      </c>
      <c r="D495" s="4" t="s">
        <v>15</v>
      </c>
      <c r="E495" s="4">
        <v>24</v>
      </c>
      <c r="F495" s="4">
        <v>0</v>
      </c>
      <c r="G495" s="6">
        <f t="shared" si="14"/>
        <v>1</v>
      </c>
      <c r="H495" s="3" t="str">
        <f t="shared" si="15"/>
        <v>★</v>
      </c>
    </row>
    <row r="496" spans="1:8" x14ac:dyDescent="0.25">
      <c r="A496" s="4" t="s">
        <v>643</v>
      </c>
      <c r="B496" s="4" t="s">
        <v>29</v>
      </c>
      <c r="C496" s="4" t="s">
        <v>116</v>
      </c>
      <c r="D496" s="4" t="s">
        <v>69</v>
      </c>
      <c r="E496" s="4">
        <v>19</v>
      </c>
      <c r="F496" s="4">
        <v>3</v>
      </c>
      <c r="G496" s="6">
        <f t="shared" si="14"/>
        <v>5</v>
      </c>
      <c r="H496" s="3" t="str">
        <f t="shared" si="15"/>
        <v>★★★★★</v>
      </c>
    </row>
    <row r="497" spans="1:8" x14ac:dyDescent="0.25">
      <c r="A497" s="4" t="s">
        <v>76</v>
      </c>
      <c r="B497" s="4" t="s">
        <v>29</v>
      </c>
      <c r="C497" s="4" t="s">
        <v>584</v>
      </c>
      <c r="D497" s="4" t="s">
        <v>27</v>
      </c>
      <c r="E497" s="4">
        <v>27</v>
      </c>
      <c r="F497" s="4">
        <v>1.03</v>
      </c>
      <c r="G497" s="6">
        <f t="shared" si="14"/>
        <v>3</v>
      </c>
      <c r="H497" s="3" t="str">
        <f t="shared" si="15"/>
        <v>★★★</v>
      </c>
    </row>
    <row r="498" spans="1:8" x14ac:dyDescent="0.25">
      <c r="A498" s="4" t="s">
        <v>374</v>
      </c>
      <c r="B498" s="4" t="s">
        <v>60</v>
      </c>
      <c r="C498" s="4" t="s">
        <v>471</v>
      </c>
      <c r="D498" s="4" t="s">
        <v>53</v>
      </c>
      <c r="E498" s="4">
        <v>32</v>
      </c>
      <c r="F498" s="4">
        <v>0.92</v>
      </c>
      <c r="G498" s="6">
        <f t="shared" si="14"/>
        <v>3</v>
      </c>
      <c r="H498" s="3" t="str">
        <f t="shared" si="15"/>
        <v>★★★</v>
      </c>
    </row>
    <row r="499" spans="1:8" x14ac:dyDescent="0.25">
      <c r="A499" s="4" t="s">
        <v>375</v>
      </c>
      <c r="B499" s="4" t="s">
        <v>376</v>
      </c>
      <c r="C499" s="4" t="s">
        <v>584</v>
      </c>
      <c r="D499" s="4" t="s">
        <v>43</v>
      </c>
      <c r="E499" s="4">
        <v>28</v>
      </c>
      <c r="F499" s="4">
        <v>1.1299999999999999</v>
      </c>
      <c r="G499" s="6">
        <f t="shared" si="14"/>
        <v>3</v>
      </c>
      <c r="H499" s="3" t="str">
        <f t="shared" si="15"/>
        <v>★★★</v>
      </c>
    </row>
    <row r="500" spans="1:8" x14ac:dyDescent="0.25">
      <c r="A500" s="4" t="s">
        <v>793</v>
      </c>
      <c r="B500" s="4" t="s">
        <v>14</v>
      </c>
      <c r="C500" s="4" t="s">
        <v>476</v>
      </c>
      <c r="D500" s="4" t="s">
        <v>15</v>
      </c>
      <c r="E500" s="4">
        <v>18</v>
      </c>
      <c r="F500" s="4">
        <v>0</v>
      </c>
      <c r="G500" s="6">
        <f t="shared" si="14"/>
        <v>1</v>
      </c>
      <c r="H500" s="3" t="str">
        <f t="shared" si="15"/>
        <v>★</v>
      </c>
    </row>
    <row r="501" spans="1:8" x14ac:dyDescent="0.25">
      <c r="A501" s="4" t="s">
        <v>538</v>
      </c>
      <c r="B501" s="4" t="s">
        <v>41</v>
      </c>
      <c r="C501" s="4" t="s">
        <v>109</v>
      </c>
      <c r="D501" s="4" t="s">
        <v>50</v>
      </c>
      <c r="E501" s="4">
        <v>23</v>
      </c>
      <c r="F501" s="4">
        <v>0.33</v>
      </c>
      <c r="G501" s="6">
        <f t="shared" si="14"/>
        <v>2</v>
      </c>
      <c r="H501" s="3" t="str">
        <f t="shared" si="15"/>
        <v>★★</v>
      </c>
    </row>
    <row r="502" spans="1:8" x14ac:dyDescent="0.25">
      <c r="A502" s="4" t="s">
        <v>539</v>
      </c>
      <c r="B502" s="4" t="s">
        <v>83</v>
      </c>
      <c r="C502" s="4" t="s">
        <v>109</v>
      </c>
      <c r="D502" s="4" t="s">
        <v>81</v>
      </c>
      <c r="E502" s="4">
        <v>25</v>
      </c>
      <c r="F502" s="4">
        <v>1.73</v>
      </c>
      <c r="G502" s="6">
        <f t="shared" si="14"/>
        <v>4</v>
      </c>
      <c r="H502" s="3" t="str">
        <f t="shared" si="15"/>
        <v>★★★★</v>
      </c>
    </row>
    <row r="503" spans="1:8" x14ac:dyDescent="0.25">
      <c r="A503" s="4" t="s">
        <v>540</v>
      </c>
      <c r="B503" s="4" t="s">
        <v>17</v>
      </c>
      <c r="C503" s="4" t="s">
        <v>476</v>
      </c>
      <c r="D503" s="4" t="s">
        <v>47</v>
      </c>
      <c r="E503" s="4">
        <v>28</v>
      </c>
      <c r="F503" s="4">
        <v>1.5</v>
      </c>
      <c r="G503" s="6">
        <f t="shared" si="14"/>
        <v>4</v>
      </c>
      <c r="H503" s="3" t="str">
        <f t="shared" si="15"/>
        <v>★★★★</v>
      </c>
    </row>
    <row r="504" spans="1:8" x14ac:dyDescent="0.25">
      <c r="A504" s="4" t="s">
        <v>77</v>
      </c>
      <c r="B504" s="4" t="s">
        <v>29</v>
      </c>
      <c r="C504" s="4" t="s">
        <v>109</v>
      </c>
      <c r="D504" s="4" t="s">
        <v>53</v>
      </c>
      <c r="E504" s="4">
        <v>29</v>
      </c>
      <c r="F504" s="4">
        <v>0.97</v>
      </c>
      <c r="G504" s="6">
        <f t="shared" si="14"/>
        <v>3</v>
      </c>
      <c r="H504" s="3" t="str">
        <f t="shared" si="15"/>
        <v>★★★</v>
      </c>
    </row>
    <row r="505" spans="1:8" x14ac:dyDescent="0.25">
      <c r="A505" s="4" t="s">
        <v>794</v>
      </c>
      <c r="B505" s="4" t="s">
        <v>162</v>
      </c>
      <c r="C505" s="4" t="s">
        <v>109</v>
      </c>
      <c r="D505" s="4" t="s">
        <v>87</v>
      </c>
      <c r="E505" s="4">
        <v>27</v>
      </c>
      <c r="F505" s="4">
        <v>0</v>
      </c>
      <c r="G505" s="6">
        <f t="shared" si="14"/>
        <v>1</v>
      </c>
      <c r="H505" s="3" t="str">
        <f t="shared" si="15"/>
        <v>★</v>
      </c>
    </row>
    <row r="506" spans="1:8" x14ac:dyDescent="0.25">
      <c r="A506" s="4" t="s">
        <v>377</v>
      </c>
      <c r="B506" s="4" t="s">
        <v>165</v>
      </c>
      <c r="C506" s="4" t="s">
        <v>116</v>
      </c>
      <c r="D506" s="4" t="s">
        <v>27</v>
      </c>
      <c r="E506" s="4">
        <v>17</v>
      </c>
      <c r="F506" s="4">
        <v>0</v>
      </c>
      <c r="G506" s="6">
        <f t="shared" si="14"/>
        <v>1</v>
      </c>
      <c r="H506" s="3" t="str">
        <f t="shared" si="15"/>
        <v>★</v>
      </c>
    </row>
    <row r="507" spans="1:8" x14ac:dyDescent="0.25">
      <c r="A507" s="4" t="s">
        <v>644</v>
      </c>
      <c r="B507" s="4" t="s">
        <v>496</v>
      </c>
      <c r="C507" s="4" t="s">
        <v>476</v>
      </c>
      <c r="D507" s="4" t="s">
        <v>50</v>
      </c>
      <c r="E507" s="4">
        <v>31</v>
      </c>
      <c r="F507" s="4">
        <v>0.59</v>
      </c>
      <c r="G507" s="6">
        <f t="shared" si="14"/>
        <v>2</v>
      </c>
      <c r="H507" s="3" t="str">
        <f t="shared" si="15"/>
        <v>★★</v>
      </c>
    </row>
    <row r="508" spans="1:8" x14ac:dyDescent="0.25">
      <c r="A508" s="4" t="s">
        <v>541</v>
      </c>
      <c r="B508" s="4" t="s">
        <v>91</v>
      </c>
      <c r="C508" s="4" t="s">
        <v>109</v>
      </c>
      <c r="D508" s="4" t="s">
        <v>21</v>
      </c>
      <c r="E508" s="4">
        <v>22</v>
      </c>
      <c r="F508" s="4">
        <v>1.77</v>
      </c>
      <c r="G508" s="6">
        <f t="shared" si="14"/>
        <v>5</v>
      </c>
      <c r="H508" s="3" t="str">
        <f t="shared" si="15"/>
        <v>★★★★★</v>
      </c>
    </row>
    <row r="509" spans="1:8" x14ac:dyDescent="0.25">
      <c r="A509" s="4" t="s">
        <v>795</v>
      </c>
      <c r="B509" s="4" t="s">
        <v>29</v>
      </c>
      <c r="C509" s="4" t="s">
        <v>109</v>
      </c>
      <c r="D509" s="4" t="s">
        <v>15</v>
      </c>
      <c r="E509" s="4">
        <v>18</v>
      </c>
      <c r="F509" s="4">
        <v>0</v>
      </c>
      <c r="G509" s="6">
        <f t="shared" si="14"/>
        <v>1</v>
      </c>
      <c r="H509" s="3" t="str">
        <f t="shared" si="15"/>
        <v>★</v>
      </c>
    </row>
    <row r="510" spans="1:8" x14ac:dyDescent="0.25">
      <c r="A510" s="4" t="s">
        <v>542</v>
      </c>
      <c r="B510" s="4" t="s">
        <v>29</v>
      </c>
      <c r="C510" s="4" t="s">
        <v>109</v>
      </c>
      <c r="D510" s="4" t="s">
        <v>30</v>
      </c>
      <c r="E510" s="4">
        <v>18</v>
      </c>
      <c r="F510" s="4">
        <v>1.5</v>
      </c>
      <c r="G510" s="6">
        <f t="shared" si="14"/>
        <v>4</v>
      </c>
      <c r="H510" s="3" t="str">
        <f t="shared" si="15"/>
        <v>★★★★</v>
      </c>
    </row>
    <row r="511" spans="1:8" x14ac:dyDescent="0.25">
      <c r="A511" s="4" t="s">
        <v>78</v>
      </c>
      <c r="B511" s="4" t="s">
        <v>29</v>
      </c>
      <c r="C511" s="4" t="s">
        <v>584</v>
      </c>
      <c r="D511" s="4" t="s">
        <v>63</v>
      </c>
      <c r="E511" s="4">
        <v>23</v>
      </c>
      <c r="F511" s="4">
        <v>1.94</v>
      </c>
      <c r="G511" s="6">
        <f t="shared" si="14"/>
        <v>5</v>
      </c>
      <c r="H511" s="3" t="str">
        <f t="shared" si="15"/>
        <v>★★★★★</v>
      </c>
    </row>
    <row r="512" spans="1:8" x14ac:dyDescent="0.25">
      <c r="A512" s="4" t="s">
        <v>796</v>
      </c>
      <c r="B512" s="4" t="s">
        <v>29</v>
      </c>
      <c r="C512" s="4" t="s">
        <v>109</v>
      </c>
      <c r="D512" s="4" t="s">
        <v>69</v>
      </c>
      <c r="E512" s="4">
        <v>18</v>
      </c>
      <c r="F512" s="4">
        <v>0</v>
      </c>
      <c r="G512" s="6">
        <f t="shared" si="14"/>
        <v>1</v>
      </c>
      <c r="H512" s="3" t="str">
        <f t="shared" si="15"/>
        <v>★</v>
      </c>
    </row>
    <row r="513" spans="1:8" x14ac:dyDescent="0.25">
      <c r="A513" s="4" t="s">
        <v>378</v>
      </c>
      <c r="B513" s="4" t="s">
        <v>29</v>
      </c>
      <c r="C513" s="4" t="s">
        <v>109</v>
      </c>
      <c r="D513" s="4" t="s">
        <v>69</v>
      </c>
      <c r="E513" s="4">
        <v>20</v>
      </c>
      <c r="F513" s="4">
        <v>1.21</v>
      </c>
      <c r="G513" s="6">
        <f t="shared" si="14"/>
        <v>3</v>
      </c>
      <c r="H513" s="3" t="str">
        <f t="shared" si="15"/>
        <v>★★★</v>
      </c>
    </row>
    <row r="514" spans="1:8" x14ac:dyDescent="0.25">
      <c r="A514" s="4" t="s">
        <v>797</v>
      </c>
      <c r="B514" s="4" t="s">
        <v>55</v>
      </c>
      <c r="C514" s="4" t="s">
        <v>476</v>
      </c>
      <c r="D514" s="4" t="s">
        <v>18</v>
      </c>
      <c r="E514" s="4">
        <v>34</v>
      </c>
      <c r="F514" s="4">
        <v>0</v>
      </c>
      <c r="G514" s="6">
        <f t="shared" si="14"/>
        <v>1</v>
      </c>
      <c r="H514" s="3" t="str">
        <f t="shared" si="15"/>
        <v>★</v>
      </c>
    </row>
    <row r="515" spans="1:8" x14ac:dyDescent="0.25">
      <c r="A515" s="4" t="s">
        <v>543</v>
      </c>
      <c r="B515" s="4" t="s">
        <v>14</v>
      </c>
      <c r="C515" s="4" t="s">
        <v>584</v>
      </c>
      <c r="D515" s="4" t="s">
        <v>58</v>
      </c>
      <c r="E515" s="4">
        <v>24</v>
      </c>
      <c r="F515" s="4">
        <v>1</v>
      </c>
      <c r="G515" s="6">
        <f t="shared" ref="G515:G578" si="16">VLOOKUP(F515,$K$10:$M$15,3,1)</f>
        <v>3</v>
      </c>
      <c r="H515" s="3" t="str">
        <f t="shared" ref="H515:H578" si="17">_xlfn.IFS(G515=0,"☆",G515=0.5,"½", G515=1,"★",G515 =1.5,"★½", G515 =2.5,"★★½", G515=2,"★★", G515=3,"★★★", G515 =3.5,"★★★½",G515=4,"★★★★", G515 =4.5,"★★★★½", G515=5,"★★★★★")</f>
        <v>★★★</v>
      </c>
    </row>
    <row r="516" spans="1:8" x14ac:dyDescent="0.25">
      <c r="A516" s="4" t="s">
        <v>544</v>
      </c>
      <c r="B516" s="4" t="s">
        <v>29</v>
      </c>
      <c r="C516" s="4" t="s">
        <v>471</v>
      </c>
      <c r="D516" s="4" t="s">
        <v>47</v>
      </c>
      <c r="E516" s="4">
        <v>23</v>
      </c>
      <c r="F516" s="4">
        <v>1.36</v>
      </c>
      <c r="G516" s="6">
        <f t="shared" si="16"/>
        <v>4</v>
      </c>
      <c r="H516" s="3" t="str">
        <f t="shared" si="17"/>
        <v>★★★★</v>
      </c>
    </row>
    <row r="517" spans="1:8" x14ac:dyDescent="0.25">
      <c r="A517" s="4" t="s">
        <v>545</v>
      </c>
      <c r="B517" s="4" t="s">
        <v>546</v>
      </c>
      <c r="C517" s="4" t="s">
        <v>109</v>
      </c>
      <c r="D517" s="4" t="s">
        <v>50</v>
      </c>
      <c r="E517" s="4">
        <v>25</v>
      </c>
      <c r="F517" s="4">
        <v>0.65</v>
      </c>
      <c r="G517" s="6">
        <f t="shared" si="16"/>
        <v>2</v>
      </c>
      <c r="H517" s="3" t="str">
        <f t="shared" si="17"/>
        <v>★★</v>
      </c>
    </row>
    <row r="518" spans="1:8" x14ac:dyDescent="0.25">
      <c r="A518" s="4" t="s">
        <v>79</v>
      </c>
      <c r="B518" s="4" t="s">
        <v>20</v>
      </c>
      <c r="C518" s="4" t="s">
        <v>109</v>
      </c>
      <c r="D518" s="4" t="s">
        <v>43</v>
      </c>
      <c r="E518" s="4">
        <v>25</v>
      </c>
      <c r="F518" s="4">
        <v>1.46</v>
      </c>
      <c r="G518" s="6">
        <f t="shared" si="16"/>
        <v>4</v>
      </c>
      <c r="H518" s="3" t="str">
        <f t="shared" si="17"/>
        <v>★★★★</v>
      </c>
    </row>
    <row r="519" spans="1:8" x14ac:dyDescent="0.25">
      <c r="A519" s="4" t="s">
        <v>547</v>
      </c>
      <c r="B519" s="4" t="s">
        <v>29</v>
      </c>
      <c r="C519" s="4" t="s">
        <v>109</v>
      </c>
      <c r="D519" s="4" t="s">
        <v>33</v>
      </c>
      <c r="E519" s="4">
        <v>27</v>
      </c>
      <c r="F519" s="4">
        <v>0.93</v>
      </c>
      <c r="G519" s="6">
        <f t="shared" si="16"/>
        <v>3</v>
      </c>
      <c r="H519" s="3" t="str">
        <f t="shared" si="17"/>
        <v>★★★</v>
      </c>
    </row>
    <row r="520" spans="1:8" x14ac:dyDescent="0.25">
      <c r="A520" s="4" t="s">
        <v>379</v>
      </c>
      <c r="B520" s="4" t="s">
        <v>20</v>
      </c>
      <c r="C520" s="4" t="s">
        <v>676</v>
      </c>
      <c r="D520" s="4" t="s">
        <v>65</v>
      </c>
      <c r="E520" s="4">
        <v>24</v>
      </c>
      <c r="F520" s="4">
        <v>1.92</v>
      </c>
      <c r="G520" s="6">
        <f t="shared" si="16"/>
        <v>5</v>
      </c>
      <c r="H520" s="3" t="str">
        <f t="shared" si="17"/>
        <v>★★★★★</v>
      </c>
    </row>
    <row r="521" spans="1:8" x14ac:dyDescent="0.25">
      <c r="A521" s="4" t="s">
        <v>380</v>
      </c>
      <c r="B521" s="4" t="s">
        <v>29</v>
      </c>
      <c r="C521" s="4" t="s">
        <v>109</v>
      </c>
      <c r="D521" s="4" t="s">
        <v>18</v>
      </c>
      <c r="E521" s="4">
        <v>22</v>
      </c>
      <c r="F521" s="4">
        <v>1.47</v>
      </c>
      <c r="G521" s="6">
        <f t="shared" si="16"/>
        <v>4</v>
      </c>
      <c r="H521" s="3" t="str">
        <f t="shared" si="17"/>
        <v>★★★★</v>
      </c>
    </row>
    <row r="522" spans="1:8" x14ac:dyDescent="0.25">
      <c r="A522" s="4" t="s">
        <v>548</v>
      </c>
      <c r="B522" s="4" t="s">
        <v>29</v>
      </c>
      <c r="C522" s="4" t="s">
        <v>116</v>
      </c>
      <c r="D522" s="4" t="s">
        <v>85</v>
      </c>
      <c r="E522" s="4">
        <v>20</v>
      </c>
      <c r="F522" s="4">
        <v>0</v>
      </c>
      <c r="G522" s="6">
        <f t="shared" si="16"/>
        <v>1</v>
      </c>
      <c r="H522" s="3" t="str">
        <f t="shared" si="17"/>
        <v>★</v>
      </c>
    </row>
    <row r="523" spans="1:8" x14ac:dyDescent="0.25">
      <c r="A523" s="4" t="s">
        <v>798</v>
      </c>
      <c r="B523" s="4" t="s">
        <v>29</v>
      </c>
      <c r="C523" s="4" t="s">
        <v>584</v>
      </c>
      <c r="D523" s="4" t="s">
        <v>53</v>
      </c>
      <c r="E523" s="4">
        <v>18</v>
      </c>
      <c r="F523" s="4">
        <v>0</v>
      </c>
      <c r="G523" s="6">
        <f t="shared" si="16"/>
        <v>1</v>
      </c>
      <c r="H523" s="3" t="str">
        <f t="shared" si="17"/>
        <v>★</v>
      </c>
    </row>
    <row r="524" spans="1:8" x14ac:dyDescent="0.25">
      <c r="A524" s="4" t="s">
        <v>549</v>
      </c>
      <c r="B524" s="4" t="s">
        <v>14</v>
      </c>
      <c r="C524" s="4" t="s">
        <v>109</v>
      </c>
      <c r="D524" s="4" t="s">
        <v>27</v>
      </c>
      <c r="E524" s="4">
        <v>24</v>
      </c>
      <c r="F524" s="4">
        <v>1.1299999999999999</v>
      </c>
      <c r="G524" s="6">
        <f t="shared" si="16"/>
        <v>3</v>
      </c>
      <c r="H524" s="3" t="str">
        <f t="shared" si="17"/>
        <v>★★★</v>
      </c>
    </row>
    <row r="525" spans="1:8" x14ac:dyDescent="0.25">
      <c r="A525" s="4" t="s">
        <v>381</v>
      </c>
      <c r="B525" s="4" t="s">
        <v>60</v>
      </c>
      <c r="C525" s="4" t="s">
        <v>584</v>
      </c>
      <c r="D525" s="4" t="s">
        <v>30</v>
      </c>
      <c r="E525" s="4">
        <v>24</v>
      </c>
      <c r="F525" s="4">
        <v>0</v>
      </c>
      <c r="G525" s="6">
        <f t="shared" si="16"/>
        <v>1</v>
      </c>
      <c r="H525" s="3" t="str">
        <f t="shared" si="17"/>
        <v>★</v>
      </c>
    </row>
    <row r="526" spans="1:8" x14ac:dyDescent="0.25">
      <c r="A526" s="4" t="s">
        <v>382</v>
      </c>
      <c r="B526" s="4" t="s">
        <v>127</v>
      </c>
      <c r="C526" s="4" t="s">
        <v>584</v>
      </c>
      <c r="D526" s="4" t="s">
        <v>35</v>
      </c>
      <c r="E526" s="4">
        <v>31</v>
      </c>
      <c r="F526" s="4">
        <v>0.67</v>
      </c>
      <c r="G526" s="6">
        <f t="shared" si="16"/>
        <v>2</v>
      </c>
      <c r="H526" s="3" t="str">
        <f t="shared" si="17"/>
        <v>★★</v>
      </c>
    </row>
    <row r="527" spans="1:8" x14ac:dyDescent="0.25">
      <c r="A527" s="4" t="s">
        <v>383</v>
      </c>
      <c r="B527" s="4" t="s">
        <v>52</v>
      </c>
      <c r="C527" s="4" t="s">
        <v>476</v>
      </c>
      <c r="D527" s="4" t="s">
        <v>53</v>
      </c>
      <c r="E527" s="4">
        <v>25</v>
      </c>
      <c r="F527" s="4">
        <v>1.1399999999999999</v>
      </c>
      <c r="G527" s="6">
        <f t="shared" si="16"/>
        <v>3</v>
      </c>
      <c r="H527" s="3" t="str">
        <f t="shared" si="17"/>
        <v>★★★</v>
      </c>
    </row>
    <row r="528" spans="1:8" x14ac:dyDescent="0.25">
      <c r="A528" s="4" t="s">
        <v>799</v>
      </c>
      <c r="B528" s="4" t="s">
        <v>29</v>
      </c>
      <c r="C528" s="4" t="s">
        <v>116</v>
      </c>
      <c r="D528" s="4" t="s">
        <v>85</v>
      </c>
      <c r="E528" s="4">
        <v>19</v>
      </c>
      <c r="F528" s="4">
        <v>0</v>
      </c>
      <c r="G528" s="6">
        <f t="shared" si="16"/>
        <v>1</v>
      </c>
      <c r="H528" s="3" t="str">
        <f t="shared" si="17"/>
        <v>★</v>
      </c>
    </row>
    <row r="529" spans="1:8" x14ac:dyDescent="0.25">
      <c r="A529" s="4" t="s">
        <v>550</v>
      </c>
      <c r="B529" s="4" t="s">
        <v>52</v>
      </c>
      <c r="C529" s="4" t="s">
        <v>109</v>
      </c>
      <c r="D529" s="4" t="s">
        <v>58</v>
      </c>
      <c r="E529" s="4">
        <v>22</v>
      </c>
      <c r="F529" s="4">
        <v>0.83</v>
      </c>
      <c r="G529" s="6">
        <f t="shared" si="16"/>
        <v>2</v>
      </c>
      <c r="H529" s="3" t="str">
        <f t="shared" si="17"/>
        <v>★★</v>
      </c>
    </row>
    <row r="530" spans="1:8" x14ac:dyDescent="0.25">
      <c r="A530" s="4" t="s">
        <v>384</v>
      </c>
      <c r="B530" s="4" t="s">
        <v>127</v>
      </c>
      <c r="C530" s="4" t="s">
        <v>109</v>
      </c>
      <c r="D530" s="4" t="s">
        <v>15</v>
      </c>
      <c r="E530" s="4">
        <v>27</v>
      </c>
      <c r="F530" s="4">
        <v>2.41</v>
      </c>
      <c r="G530" s="6">
        <f t="shared" si="16"/>
        <v>5</v>
      </c>
      <c r="H530" s="3" t="str">
        <f t="shared" si="17"/>
        <v>★★★★★</v>
      </c>
    </row>
    <row r="531" spans="1:8" x14ac:dyDescent="0.25">
      <c r="A531" s="4" t="s">
        <v>385</v>
      </c>
      <c r="B531" s="4" t="s">
        <v>52</v>
      </c>
      <c r="C531" s="4" t="s">
        <v>109</v>
      </c>
      <c r="D531" s="4" t="s">
        <v>65</v>
      </c>
      <c r="E531" s="4">
        <v>23</v>
      </c>
      <c r="F531" s="4">
        <v>2</v>
      </c>
      <c r="G531" s="6">
        <f t="shared" si="16"/>
        <v>5</v>
      </c>
      <c r="H531" s="3" t="str">
        <f t="shared" si="17"/>
        <v>★★★★★</v>
      </c>
    </row>
    <row r="532" spans="1:8" x14ac:dyDescent="0.25">
      <c r="A532" s="4" t="s">
        <v>386</v>
      </c>
      <c r="B532" s="4" t="s">
        <v>20</v>
      </c>
      <c r="C532" s="4" t="s">
        <v>116</v>
      </c>
      <c r="D532" s="4" t="s">
        <v>39</v>
      </c>
      <c r="E532" s="4">
        <v>25</v>
      </c>
      <c r="F532" s="4">
        <v>2.52</v>
      </c>
      <c r="G532" s="6">
        <f t="shared" si="16"/>
        <v>5</v>
      </c>
      <c r="H532" s="3" t="str">
        <f t="shared" si="17"/>
        <v>★★★★★</v>
      </c>
    </row>
    <row r="533" spans="1:8" x14ac:dyDescent="0.25">
      <c r="A533" s="4" t="s">
        <v>551</v>
      </c>
      <c r="B533" s="4" t="s">
        <v>20</v>
      </c>
      <c r="C533" s="4" t="s">
        <v>584</v>
      </c>
      <c r="D533" s="4" t="s">
        <v>58</v>
      </c>
      <c r="E533" s="4">
        <v>30</v>
      </c>
      <c r="F533" s="4">
        <v>1.06</v>
      </c>
      <c r="G533" s="6">
        <f t="shared" si="16"/>
        <v>3</v>
      </c>
      <c r="H533" s="3" t="str">
        <f t="shared" si="17"/>
        <v>★★★</v>
      </c>
    </row>
    <row r="534" spans="1:8" x14ac:dyDescent="0.25">
      <c r="A534" s="4" t="s">
        <v>645</v>
      </c>
      <c r="B534" s="4" t="s">
        <v>29</v>
      </c>
      <c r="C534" s="4" t="s">
        <v>116</v>
      </c>
      <c r="D534" s="4" t="s">
        <v>53</v>
      </c>
      <c r="E534" s="4">
        <v>32</v>
      </c>
      <c r="F534" s="4">
        <v>0.9</v>
      </c>
      <c r="G534" s="6">
        <f t="shared" si="16"/>
        <v>3</v>
      </c>
      <c r="H534" s="3" t="str">
        <f t="shared" si="17"/>
        <v>★★★</v>
      </c>
    </row>
    <row r="535" spans="1:8" x14ac:dyDescent="0.25">
      <c r="A535" s="4" t="s">
        <v>387</v>
      </c>
      <c r="B535" s="4" t="s">
        <v>67</v>
      </c>
      <c r="C535" s="4" t="s">
        <v>476</v>
      </c>
      <c r="D535" s="4" t="s">
        <v>43</v>
      </c>
      <c r="E535" s="4">
        <v>22</v>
      </c>
      <c r="F535" s="4">
        <v>1.29</v>
      </c>
      <c r="G535" s="6">
        <f t="shared" si="16"/>
        <v>4</v>
      </c>
      <c r="H535" s="3" t="str">
        <f t="shared" si="17"/>
        <v>★★★★</v>
      </c>
    </row>
    <row r="536" spans="1:8" x14ac:dyDescent="0.25">
      <c r="A536" s="4" t="s">
        <v>388</v>
      </c>
      <c r="B536" s="4" t="s">
        <v>32</v>
      </c>
      <c r="C536" s="4" t="s">
        <v>584</v>
      </c>
      <c r="D536" s="4" t="s">
        <v>65</v>
      </c>
      <c r="E536" s="4">
        <v>23</v>
      </c>
      <c r="F536" s="4">
        <v>1.64</v>
      </c>
      <c r="G536" s="6">
        <f t="shared" si="16"/>
        <v>4</v>
      </c>
      <c r="H536" s="3" t="str">
        <f t="shared" si="17"/>
        <v>★★★★</v>
      </c>
    </row>
    <row r="537" spans="1:8" x14ac:dyDescent="0.25">
      <c r="A537" s="4" t="s">
        <v>389</v>
      </c>
      <c r="B537" s="4" t="s">
        <v>20</v>
      </c>
      <c r="C537" s="4" t="s">
        <v>584</v>
      </c>
      <c r="D537" s="4" t="s">
        <v>33</v>
      </c>
      <c r="E537" s="4">
        <v>29</v>
      </c>
      <c r="F537" s="4">
        <v>1.08</v>
      </c>
      <c r="G537" s="6">
        <f t="shared" si="16"/>
        <v>3</v>
      </c>
      <c r="H537" s="3" t="str">
        <f t="shared" si="17"/>
        <v>★★★</v>
      </c>
    </row>
    <row r="538" spans="1:8" x14ac:dyDescent="0.25">
      <c r="A538" s="4" t="s">
        <v>646</v>
      </c>
      <c r="B538" s="4" t="s">
        <v>83</v>
      </c>
      <c r="C538" s="4" t="s">
        <v>676</v>
      </c>
      <c r="D538" s="4" t="s">
        <v>47</v>
      </c>
      <c r="E538" s="4">
        <v>36</v>
      </c>
      <c r="F538" s="4">
        <v>1.63</v>
      </c>
      <c r="G538" s="6">
        <f t="shared" si="16"/>
        <v>4</v>
      </c>
      <c r="H538" s="3" t="str">
        <f t="shared" si="17"/>
        <v>★★★★</v>
      </c>
    </row>
    <row r="539" spans="1:8" x14ac:dyDescent="0.25">
      <c r="A539" s="4" t="s">
        <v>647</v>
      </c>
      <c r="B539" s="4" t="s">
        <v>648</v>
      </c>
      <c r="C539" s="4" t="s">
        <v>228</v>
      </c>
      <c r="D539" s="4" t="s">
        <v>27</v>
      </c>
      <c r="E539" s="4">
        <v>31</v>
      </c>
      <c r="F539" s="4">
        <v>0.85</v>
      </c>
      <c r="G539" s="6">
        <f t="shared" si="16"/>
        <v>2</v>
      </c>
      <c r="H539" s="3" t="str">
        <f t="shared" si="17"/>
        <v>★★</v>
      </c>
    </row>
    <row r="540" spans="1:8" x14ac:dyDescent="0.25">
      <c r="A540" s="4" t="s">
        <v>390</v>
      </c>
      <c r="B540" s="4" t="s">
        <v>29</v>
      </c>
      <c r="C540" s="4" t="s">
        <v>584</v>
      </c>
      <c r="D540" s="4" t="s">
        <v>24</v>
      </c>
      <c r="E540" s="4">
        <v>31</v>
      </c>
      <c r="F540" s="4">
        <v>0.5</v>
      </c>
      <c r="G540" s="6">
        <f t="shared" si="16"/>
        <v>2</v>
      </c>
      <c r="H540" s="3" t="str">
        <f t="shared" si="17"/>
        <v>★★</v>
      </c>
    </row>
    <row r="541" spans="1:8" x14ac:dyDescent="0.25">
      <c r="A541" s="4" t="s">
        <v>552</v>
      </c>
      <c r="B541" s="4" t="s">
        <v>29</v>
      </c>
      <c r="C541" s="4" t="s">
        <v>304</v>
      </c>
      <c r="D541" s="4" t="s">
        <v>50</v>
      </c>
      <c r="E541" s="4">
        <v>18</v>
      </c>
      <c r="F541" s="4">
        <v>0.23</v>
      </c>
      <c r="G541" s="6">
        <f t="shared" si="16"/>
        <v>1</v>
      </c>
      <c r="H541" s="3" t="str">
        <f t="shared" si="17"/>
        <v>★</v>
      </c>
    </row>
    <row r="542" spans="1:8" x14ac:dyDescent="0.25">
      <c r="A542" s="4" t="s">
        <v>80</v>
      </c>
      <c r="B542" s="4" t="s">
        <v>29</v>
      </c>
      <c r="C542" s="4" t="s">
        <v>584</v>
      </c>
      <c r="D542" s="4" t="s">
        <v>81</v>
      </c>
      <c r="E542" s="4">
        <v>34</v>
      </c>
      <c r="F542" s="4">
        <v>0.5</v>
      </c>
      <c r="G542" s="6">
        <f t="shared" si="16"/>
        <v>2</v>
      </c>
      <c r="H542" s="3" t="str">
        <f t="shared" si="17"/>
        <v>★★</v>
      </c>
    </row>
    <row r="543" spans="1:8" x14ac:dyDescent="0.25">
      <c r="A543" s="4" t="s">
        <v>391</v>
      </c>
      <c r="B543" s="4" t="s">
        <v>62</v>
      </c>
      <c r="C543" s="4" t="s">
        <v>584</v>
      </c>
      <c r="D543" s="4" t="s">
        <v>21</v>
      </c>
      <c r="E543" s="4">
        <v>28</v>
      </c>
      <c r="F543" s="4">
        <v>1.91</v>
      </c>
      <c r="G543" s="6">
        <f t="shared" si="16"/>
        <v>5</v>
      </c>
      <c r="H543" s="3" t="str">
        <f t="shared" si="17"/>
        <v>★★★★★</v>
      </c>
    </row>
    <row r="544" spans="1:8" x14ac:dyDescent="0.25">
      <c r="A544" s="4" t="s">
        <v>392</v>
      </c>
      <c r="B544" s="4" t="s">
        <v>62</v>
      </c>
      <c r="C544" s="4" t="s">
        <v>109</v>
      </c>
      <c r="D544" s="4" t="s">
        <v>50</v>
      </c>
      <c r="E544" s="4">
        <v>30</v>
      </c>
      <c r="F544" s="4">
        <v>0.57999999999999996</v>
      </c>
      <c r="G544" s="6">
        <f t="shared" si="16"/>
        <v>2</v>
      </c>
      <c r="H544" s="3" t="str">
        <f t="shared" si="17"/>
        <v>★★</v>
      </c>
    </row>
    <row r="545" spans="1:8" x14ac:dyDescent="0.25">
      <c r="A545" s="4" t="s">
        <v>82</v>
      </c>
      <c r="B545" s="4" t="s">
        <v>83</v>
      </c>
      <c r="C545" s="4" t="s">
        <v>109</v>
      </c>
      <c r="D545" s="4" t="s">
        <v>81</v>
      </c>
      <c r="E545" s="4">
        <v>28</v>
      </c>
      <c r="F545" s="4">
        <v>1.35</v>
      </c>
      <c r="G545" s="6">
        <f t="shared" si="16"/>
        <v>4</v>
      </c>
      <c r="H545" s="3" t="str">
        <f t="shared" si="17"/>
        <v>★★★★</v>
      </c>
    </row>
    <row r="546" spans="1:8" x14ac:dyDescent="0.25">
      <c r="A546" s="4" t="s">
        <v>553</v>
      </c>
      <c r="B546" s="4" t="s">
        <v>17</v>
      </c>
      <c r="C546" s="4" t="s">
        <v>476</v>
      </c>
      <c r="D546" s="4" t="s">
        <v>35</v>
      </c>
      <c r="E546" s="4">
        <v>24</v>
      </c>
      <c r="F546" s="4">
        <v>1.2</v>
      </c>
      <c r="G546" s="6">
        <f t="shared" si="16"/>
        <v>3</v>
      </c>
      <c r="H546" s="3" t="str">
        <f t="shared" si="17"/>
        <v>★★★</v>
      </c>
    </row>
    <row r="547" spans="1:8" x14ac:dyDescent="0.25">
      <c r="A547" s="4" t="s">
        <v>393</v>
      </c>
      <c r="B547" s="4" t="s">
        <v>317</v>
      </c>
      <c r="C547" s="4" t="s">
        <v>109</v>
      </c>
      <c r="D547" s="4" t="s">
        <v>81</v>
      </c>
      <c r="E547" s="4">
        <v>31</v>
      </c>
      <c r="F547" s="4">
        <v>1.32</v>
      </c>
      <c r="G547" s="6">
        <f t="shared" si="16"/>
        <v>4</v>
      </c>
      <c r="H547" s="3" t="str">
        <f t="shared" si="17"/>
        <v>★★★★</v>
      </c>
    </row>
    <row r="548" spans="1:8" x14ac:dyDescent="0.25">
      <c r="A548" s="4" t="s">
        <v>554</v>
      </c>
      <c r="B548" s="4" t="s">
        <v>29</v>
      </c>
      <c r="C548" s="4" t="s">
        <v>476</v>
      </c>
      <c r="D548" s="4" t="s">
        <v>63</v>
      </c>
      <c r="E548" s="4">
        <v>19</v>
      </c>
      <c r="F548" s="4">
        <v>1.82</v>
      </c>
      <c r="G548" s="6">
        <f t="shared" si="16"/>
        <v>5</v>
      </c>
      <c r="H548" s="3" t="str">
        <f t="shared" si="17"/>
        <v>★★★★★</v>
      </c>
    </row>
    <row r="549" spans="1:8" x14ac:dyDescent="0.25">
      <c r="A549" s="4" t="s">
        <v>649</v>
      </c>
      <c r="B549" s="4" t="s">
        <v>215</v>
      </c>
      <c r="C549" s="4" t="s">
        <v>584</v>
      </c>
      <c r="D549" s="4" t="s">
        <v>15</v>
      </c>
      <c r="E549" s="4">
        <v>29</v>
      </c>
      <c r="F549" s="4">
        <v>2.37</v>
      </c>
      <c r="G549" s="6">
        <f t="shared" si="16"/>
        <v>5</v>
      </c>
      <c r="H549" s="3" t="str">
        <f t="shared" si="17"/>
        <v>★★★★★</v>
      </c>
    </row>
    <row r="550" spans="1:8" x14ac:dyDescent="0.25">
      <c r="A550" s="4" t="s">
        <v>394</v>
      </c>
      <c r="B550" s="4" t="s">
        <v>124</v>
      </c>
      <c r="C550" s="4" t="s">
        <v>109</v>
      </c>
      <c r="D550" s="4" t="s">
        <v>33</v>
      </c>
      <c r="E550" s="4">
        <v>22</v>
      </c>
      <c r="F550" s="4">
        <v>1.0900000000000001</v>
      </c>
      <c r="G550" s="6">
        <f t="shared" si="16"/>
        <v>3</v>
      </c>
      <c r="H550" s="3" t="str">
        <f t="shared" si="17"/>
        <v>★★★</v>
      </c>
    </row>
    <row r="551" spans="1:8" x14ac:dyDescent="0.25">
      <c r="A551" s="4" t="s">
        <v>395</v>
      </c>
      <c r="B551" s="4" t="s">
        <v>162</v>
      </c>
      <c r="C551" s="4" t="s">
        <v>116</v>
      </c>
      <c r="D551" s="4" t="s">
        <v>63</v>
      </c>
      <c r="E551" s="4">
        <v>21</v>
      </c>
      <c r="F551" s="4">
        <v>1.74</v>
      </c>
      <c r="G551" s="6">
        <f t="shared" si="16"/>
        <v>4</v>
      </c>
      <c r="H551" s="3" t="str">
        <f t="shared" si="17"/>
        <v>★★★★</v>
      </c>
    </row>
    <row r="552" spans="1:8" x14ac:dyDescent="0.25">
      <c r="A552" s="4" t="s">
        <v>396</v>
      </c>
      <c r="B552" s="4" t="s">
        <v>122</v>
      </c>
      <c r="C552" s="4" t="s">
        <v>109</v>
      </c>
      <c r="D552" s="4" t="s">
        <v>65</v>
      </c>
      <c r="E552" s="4">
        <v>25</v>
      </c>
      <c r="F552" s="4">
        <v>2</v>
      </c>
      <c r="G552" s="6">
        <f t="shared" si="16"/>
        <v>5</v>
      </c>
      <c r="H552" s="3" t="str">
        <f t="shared" si="17"/>
        <v>★★★★★</v>
      </c>
    </row>
    <row r="553" spans="1:8" x14ac:dyDescent="0.25">
      <c r="A553" s="4" t="s">
        <v>84</v>
      </c>
      <c r="B553" s="4" t="s">
        <v>20</v>
      </c>
      <c r="C553" s="4" t="s">
        <v>676</v>
      </c>
      <c r="D553" s="4" t="s">
        <v>85</v>
      </c>
      <c r="E553" s="4">
        <v>23</v>
      </c>
      <c r="F553" s="4">
        <v>1.38</v>
      </c>
      <c r="G553" s="6">
        <f t="shared" si="16"/>
        <v>4</v>
      </c>
      <c r="H553" s="3" t="str">
        <f t="shared" si="17"/>
        <v>★★★★</v>
      </c>
    </row>
    <row r="554" spans="1:8" x14ac:dyDescent="0.25">
      <c r="A554" s="4" t="s">
        <v>555</v>
      </c>
      <c r="B554" s="4" t="s">
        <v>29</v>
      </c>
      <c r="C554" s="4" t="s">
        <v>476</v>
      </c>
      <c r="D554" s="4" t="s">
        <v>47</v>
      </c>
      <c r="E554" s="4">
        <v>21</v>
      </c>
      <c r="F554" s="4">
        <v>1.55</v>
      </c>
      <c r="G554" s="6">
        <f t="shared" si="16"/>
        <v>4</v>
      </c>
      <c r="H554" s="3" t="str">
        <f t="shared" si="17"/>
        <v>★★★★</v>
      </c>
    </row>
    <row r="555" spans="1:8" x14ac:dyDescent="0.25">
      <c r="A555" s="4" t="s">
        <v>800</v>
      </c>
      <c r="B555" s="4" t="s">
        <v>29</v>
      </c>
      <c r="C555" s="4" t="s">
        <v>109</v>
      </c>
      <c r="D555" s="4" t="s">
        <v>81</v>
      </c>
      <c r="E555" s="4">
        <v>21</v>
      </c>
      <c r="F555" s="4">
        <v>0</v>
      </c>
      <c r="G555" s="6">
        <f t="shared" si="16"/>
        <v>1</v>
      </c>
      <c r="H555" s="3" t="str">
        <f t="shared" si="17"/>
        <v>★</v>
      </c>
    </row>
    <row r="556" spans="1:8" x14ac:dyDescent="0.25">
      <c r="A556" s="4" t="s">
        <v>397</v>
      </c>
      <c r="B556" s="4" t="s">
        <v>17</v>
      </c>
      <c r="C556" s="4" t="s">
        <v>116</v>
      </c>
      <c r="D556" s="4" t="s">
        <v>69</v>
      </c>
      <c r="E556" s="4">
        <v>26</v>
      </c>
      <c r="F556" s="4">
        <v>1.3</v>
      </c>
      <c r="G556" s="6">
        <f t="shared" si="16"/>
        <v>4</v>
      </c>
      <c r="H556" s="3" t="str">
        <f t="shared" si="17"/>
        <v>★★★★</v>
      </c>
    </row>
    <row r="557" spans="1:8" x14ac:dyDescent="0.25">
      <c r="A557" s="4" t="s">
        <v>398</v>
      </c>
      <c r="B557" s="4" t="s">
        <v>14</v>
      </c>
      <c r="C557" s="4" t="s">
        <v>109</v>
      </c>
      <c r="D557" s="4" t="s">
        <v>24</v>
      </c>
      <c r="E557" s="4">
        <v>26</v>
      </c>
      <c r="F557" s="4">
        <v>0.53</v>
      </c>
      <c r="G557" s="6">
        <f t="shared" si="16"/>
        <v>2</v>
      </c>
      <c r="H557" s="3" t="str">
        <f t="shared" si="17"/>
        <v>★★</v>
      </c>
    </row>
    <row r="558" spans="1:8" x14ac:dyDescent="0.25">
      <c r="A558" s="4" t="s">
        <v>556</v>
      </c>
      <c r="B558" s="4" t="s">
        <v>91</v>
      </c>
      <c r="C558" s="4" t="s">
        <v>476</v>
      </c>
      <c r="D558" s="4" t="s">
        <v>50</v>
      </c>
      <c r="E558" s="4">
        <v>21</v>
      </c>
      <c r="F558" s="4">
        <v>0.62</v>
      </c>
      <c r="G558" s="6">
        <f t="shared" si="16"/>
        <v>2</v>
      </c>
      <c r="H558" s="3" t="str">
        <f t="shared" si="17"/>
        <v>★★</v>
      </c>
    </row>
    <row r="559" spans="1:8" x14ac:dyDescent="0.25">
      <c r="A559" s="4" t="s">
        <v>557</v>
      </c>
      <c r="B559" s="4" t="s">
        <v>156</v>
      </c>
      <c r="C559" s="4" t="s">
        <v>476</v>
      </c>
      <c r="D559" s="4" t="s">
        <v>85</v>
      </c>
      <c r="E559" s="4">
        <v>19</v>
      </c>
      <c r="F559" s="4">
        <v>0.8</v>
      </c>
      <c r="G559" s="6">
        <f t="shared" si="16"/>
        <v>2</v>
      </c>
      <c r="H559" s="3" t="str">
        <f t="shared" si="17"/>
        <v>★★</v>
      </c>
    </row>
    <row r="560" spans="1:8" x14ac:dyDescent="0.25">
      <c r="A560" s="4" t="s">
        <v>558</v>
      </c>
      <c r="B560" s="4" t="s">
        <v>72</v>
      </c>
      <c r="C560" s="4" t="s">
        <v>476</v>
      </c>
      <c r="D560" s="4" t="s">
        <v>24</v>
      </c>
      <c r="E560" s="4">
        <v>23</v>
      </c>
      <c r="F560" s="4">
        <v>0.77</v>
      </c>
      <c r="G560" s="6">
        <f t="shared" si="16"/>
        <v>2</v>
      </c>
      <c r="H560" s="3" t="str">
        <f t="shared" si="17"/>
        <v>★★</v>
      </c>
    </row>
    <row r="561" spans="1:8" x14ac:dyDescent="0.25">
      <c r="A561" s="4" t="s">
        <v>399</v>
      </c>
      <c r="B561" s="4" t="s">
        <v>17</v>
      </c>
      <c r="C561" s="4" t="s">
        <v>109</v>
      </c>
      <c r="D561" s="4" t="s">
        <v>21</v>
      </c>
      <c r="E561" s="4">
        <v>22</v>
      </c>
      <c r="F561" s="4">
        <v>2</v>
      </c>
      <c r="G561" s="6">
        <f t="shared" si="16"/>
        <v>5</v>
      </c>
      <c r="H561" s="3" t="str">
        <f t="shared" si="17"/>
        <v>★★★★★</v>
      </c>
    </row>
    <row r="562" spans="1:8" x14ac:dyDescent="0.25">
      <c r="A562" s="4" t="s">
        <v>801</v>
      </c>
      <c r="B562" s="4" t="s">
        <v>52</v>
      </c>
      <c r="C562" s="4" t="s">
        <v>116</v>
      </c>
      <c r="D562" s="4" t="s">
        <v>47</v>
      </c>
      <c r="E562" s="4">
        <v>18</v>
      </c>
      <c r="F562" s="4">
        <v>0</v>
      </c>
      <c r="G562" s="6">
        <f t="shared" si="16"/>
        <v>1</v>
      </c>
      <c r="H562" s="3" t="str">
        <f t="shared" si="17"/>
        <v>★</v>
      </c>
    </row>
    <row r="563" spans="1:8" x14ac:dyDescent="0.25">
      <c r="A563" s="4" t="s">
        <v>400</v>
      </c>
      <c r="B563" s="4" t="s">
        <v>29</v>
      </c>
      <c r="C563" s="4" t="s">
        <v>116</v>
      </c>
      <c r="D563" s="4" t="s">
        <v>65</v>
      </c>
      <c r="E563" s="4">
        <v>17</v>
      </c>
      <c r="F563" s="4">
        <v>3</v>
      </c>
      <c r="G563" s="6">
        <f t="shared" si="16"/>
        <v>5</v>
      </c>
      <c r="H563" s="3" t="str">
        <f t="shared" si="17"/>
        <v>★★★★★</v>
      </c>
    </row>
    <row r="564" spans="1:8" x14ac:dyDescent="0.25">
      <c r="A564" s="4" t="s">
        <v>401</v>
      </c>
      <c r="B564" s="4" t="s">
        <v>402</v>
      </c>
      <c r="C564" s="4" t="s">
        <v>109</v>
      </c>
      <c r="D564" s="4" t="s">
        <v>35</v>
      </c>
      <c r="E564" s="4">
        <v>29</v>
      </c>
      <c r="F564" s="4">
        <v>1.56</v>
      </c>
      <c r="G564" s="6">
        <f t="shared" si="16"/>
        <v>4</v>
      </c>
      <c r="H564" s="3" t="str">
        <f t="shared" si="17"/>
        <v>★★★★</v>
      </c>
    </row>
    <row r="565" spans="1:8" x14ac:dyDescent="0.25">
      <c r="A565" s="4" t="s">
        <v>802</v>
      </c>
      <c r="B565" s="4" t="s">
        <v>60</v>
      </c>
      <c r="C565" s="4" t="s">
        <v>676</v>
      </c>
      <c r="D565" s="4" t="s">
        <v>85</v>
      </c>
      <c r="E565" s="4">
        <v>21</v>
      </c>
      <c r="F565" s="4">
        <v>0</v>
      </c>
      <c r="G565" s="6">
        <f t="shared" si="16"/>
        <v>1</v>
      </c>
      <c r="H565" s="3" t="str">
        <f t="shared" si="17"/>
        <v>★</v>
      </c>
    </row>
    <row r="566" spans="1:8" x14ac:dyDescent="0.25">
      <c r="A566" s="4" t="s">
        <v>559</v>
      </c>
      <c r="B566" s="4" t="s">
        <v>124</v>
      </c>
      <c r="C566" s="4" t="s">
        <v>471</v>
      </c>
      <c r="D566" s="4" t="s">
        <v>30</v>
      </c>
      <c r="E566" s="4">
        <v>28</v>
      </c>
      <c r="F566" s="4">
        <v>1.25</v>
      </c>
      <c r="G566" s="6">
        <f t="shared" si="16"/>
        <v>3</v>
      </c>
      <c r="H566" s="3" t="str">
        <f t="shared" si="17"/>
        <v>★★★</v>
      </c>
    </row>
    <row r="567" spans="1:8" x14ac:dyDescent="0.25">
      <c r="A567" s="4" t="s">
        <v>86</v>
      </c>
      <c r="B567" s="4" t="s">
        <v>67</v>
      </c>
      <c r="C567" s="4" t="s">
        <v>676</v>
      </c>
      <c r="D567" s="4" t="s">
        <v>87</v>
      </c>
      <c r="E567" s="4">
        <v>34</v>
      </c>
      <c r="F567" s="4">
        <v>1.32</v>
      </c>
      <c r="G567" s="6">
        <f t="shared" si="16"/>
        <v>4</v>
      </c>
      <c r="H567" s="3" t="str">
        <f t="shared" si="17"/>
        <v>★★★★</v>
      </c>
    </row>
    <row r="568" spans="1:8" x14ac:dyDescent="0.25">
      <c r="A568" s="4" t="s">
        <v>560</v>
      </c>
      <c r="B568" s="4" t="s">
        <v>75</v>
      </c>
      <c r="C568" s="4" t="s">
        <v>471</v>
      </c>
      <c r="D568" s="4" t="s">
        <v>24</v>
      </c>
      <c r="E568" s="4">
        <v>27</v>
      </c>
      <c r="F568" s="4">
        <v>0.83</v>
      </c>
      <c r="G568" s="6">
        <f t="shared" si="16"/>
        <v>2</v>
      </c>
      <c r="H568" s="3" t="str">
        <f t="shared" si="17"/>
        <v>★★</v>
      </c>
    </row>
    <row r="569" spans="1:8" x14ac:dyDescent="0.25">
      <c r="A569" s="4" t="s">
        <v>403</v>
      </c>
      <c r="B569" s="4" t="s">
        <v>83</v>
      </c>
      <c r="C569" s="4" t="s">
        <v>109</v>
      </c>
      <c r="D569" s="4" t="s">
        <v>81</v>
      </c>
      <c r="E569" s="4">
        <v>27</v>
      </c>
      <c r="F569" s="4">
        <v>1.56</v>
      </c>
      <c r="G569" s="6">
        <f t="shared" si="16"/>
        <v>4</v>
      </c>
      <c r="H569" s="3" t="str">
        <f t="shared" si="17"/>
        <v>★★★★</v>
      </c>
    </row>
    <row r="570" spans="1:8" x14ac:dyDescent="0.25">
      <c r="A570" s="4" t="s">
        <v>404</v>
      </c>
      <c r="B570" s="4" t="s">
        <v>29</v>
      </c>
      <c r="C570" s="4" t="s">
        <v>109</v>
      </c>
      <c r="D570" s="4" t="s">
        <v>65</v>
      </c>
      <c r="E570" s="4">
        <v>21</v>
      </c>
      <c r="F570" s="4">
        <v>2</v>
      </c>
      <c r="G570" s="6">
        <f t="shared" si="16"/>
        <v>5</v>
      </c>
      <c r="H570" s="3" t="str">
        <f t="shared" si="17"/>
        <v>★★★★★</v>
      </c>
    </row>
    <row r="571" spans="1:8" x14ac:dyDescent="0.25">
      <c r="A571" s="4" t="s">
        <v>405</v>
      </c>
      <c r="B571" s="4" t="s">
        <v>29</v>
      </c>
      <c r="C571" s="4" t="s">
        <v>171</v>
      </c>
      <c r="D571" s="4" t="s">
        <v>58</v>
      </c>
      <c r="E571" s="4">
        <v>21</v>
      </c>
      <c r="F571" s="4">
        <v>0.86</v>
      </c>
      <c r="G571" s="6">
        <f t="shared" si="16"/>
        <v>3</v>
      </c>
      <c r="H571" s="3" t="str">
        <f t="shared" si="17"/>
        <v>★★★</v>
      </c>
    </row>
    <row r="572" spans="1:8" x14ac:dyDescent="0.25">
      <c r="A572" s="4" t="s">
        <v>406</v>
      </c>
      <c r="B572" s="4" t="s">
        <v>29</v>
      </c>
      <c r="C572" s="4" t="s">
        <v>109</v>
      </c>
      <c r="D572" s="4" t="s">
        <v>47</v>
      </c>
      <c r="E572" s="4">
        <v>26</v>
      </c>
      <c r="F572" s="4">
        <v>1.5</v>
      </c>
      <c r="G572" s="6">
        <f t="shared" si="16"/>
        <v>4</v>
      </c>
      <c r="H572" s="3" t="str">
        <f t="shared" si="17"/>
        <v>★★★★</v>
      </c>
    </row>
    <row r="573" spans="1:8" x14ac:dyDescent="0.25">
      <c r="A573" s="4" t="s">
        <v>407</v>
      </c>
      <c r="B573" s="4" t="s">
        <v>29</v>
      </c>
      <c r="C573" s="4" t="s">
        <v>116</v>
      </c>
      <c r="D573" s="4" t="s">
        <v>35</v>
      </c>
      <c r="E573" s="4">
        <v>29</v>
      </c>
      <c r="F573" s="4">
        <v>1.5</v>
      </c>
      <c r="G573" s="6">
        <f t="shared" si="16"/>
        <v>4</v>
      </c>
      <c r="H573" s="3" t="str">
        <f t="shared" si="17"/>
        <v>★★★★</v>
      </c>
    </row>
    <row r="574" spans="1:8" x14ac:dyDescent="0.25">
      <c r="A574" s="4" t="s">
        <v>650</v>
      </c>
      <c r="B574" s="4" t="s">
        <v>29</v>
      </c>
      <c r="C574" s="4" t="s">
        <v>584</v>
      </c>
      <c r="D574" s="4" t="s">
        <v>47</v>
      </c>
      <c r="E574" s="4">
        <v>17</v>
      </c>
      <c r="F574" s="4">
        <v>0</v>
      </c>
      <c r="G574" s="6">
        <f t="shared" si="16"/>
        <v>1</v>
      </c>
      <c r="H574" s="3" t="str">
        <f t="shared" si="17"/>
        <v>★</v>
      </c>
    </row>
    <row r="575" spans="1:8" x14ac:dyDescent="0.25">
      <c r="A575" s="4" t="s">
        <v>408</v>
      </c>
      <c r="B575" s="4" t="s">
        <v>409</v>
      </c>
      <c r="C575" s="4" t="s">
        <v>109</v>
      </c>
      <c r="D575" s="4" t="s">
        <v>24</v>
      </c>
      <c r="E575" s="4">
        <v>24</v>
      </c>
      <c r="F575" s="4">
        <v>0</v>
      </c>
      <c r="G575" s="6">
        <f t="shared" si="16"/>
        <v>1</v>
      </c>
      <c r="H575" s="3" t="str">
        <f t="shared" si="17"/>
        <v>★</v>
      </c>
    </row>
    <row r="576" spans="1:8" x14ac:dyDescent="0.25">
      <c r="A576" s="4" t="s">
        <v>561</v>
      </c>
      <c r="B576" s="4" t="s">
        <v>83</v>
      </c>
      <c r="C576" s="4" t="s">
        <v>471</v>
      </c>
      <c r="D576" s="4" t="s">
        <v>39</v>
      </c>
      <c r="E576" s="4">
        <v>26</v>
      </c>
      <c r="F576" s="4">
        <v>2.4900000000000002</v>
      </c>
      <c r="G576" s="6">
        <f t="shared" si="16"/>
        <v>5</v>
      </c>
      <c r="H576" s="3" t="str">
        <f t="shared" si="17"/>
        <v>★★★★★</v>
      </c>
    </row>
    <row r="577" spans="1:8" x14ac:dyDescent="0.25">
      <c r="A577" s="4" t="s">
        <v>651</v>
      </c>
      <c r="B577" s="4" t="s">
        <v>83</v>
      </c>
      <c r="C577" s="4" t="s">
        <v>584</v>
      </c>
      <c r="D577" s="4" t="s">
        <v>81</v>
      </c>
      <c r="E577" s="4">
        <v>19</v>
      </c>
      <c r="F577" s="4">
        <v>1.41</v>
      </c>
      <c r="G577" s="6">
        <f t="shared" si="16"/>
        <v>4</v>
      </c>
      <c r="H577" s="3" t="str">
        <f t="shared" si="17"/>
        <v>★★★★</v>
      </c>
    </row>
    <row r="578" spans="1:8" x14ac:dyDescent="0.25">
      <c r="A578" s="4" t="s">
        <v>410</v>
      </c>
      <c r="B578" s="4" t="s">
        <v>14</v>
      </c>
      <c r="C578" s="4" t="s">
        <v>109</v>
      </c>
      <c r="D578" s="4" t="s">
        <v>21</v>
      </c>
      <c r="E578" s="4">
        <v>36</v>
      </c>
      <c r="F578" s="4">
        <v>1.81</v>
      </c>
      <c r="G578" s="6">
        <f t="shared" si="16"/>
        <v>5</v>
      </c>
      <c r="H578" s="3" t="str">
        <f t="shared" si="17"/>
        <v>★★★★★</v>
      </c>
    </row>
    <row r="579" spans="1:8" x14ac:dyDescent="0.25">
      <c r="A579" s="4" t="s">
        <v>803</v>
      </c>
      <c r="B579" s="4" t="s">
        <v>29</v>
      </c>
      <c r="C579" s="4" t="s">
        <v>109</v>
      </c>
      <c r="D579" s="4" t="s">
        <v>33</v>
      </c>
      <c r="E579" s="4">
        <v>19</v>
      </c>
      <c r="F579" s="4">
        <v>0</v>
      </c>
      <c r="G579" s="6">
        <f t="shared" ref="G579:G642" si="18">VLOOKUP(F579,$K$10:$M$15,3,1)</f>
        <v>1</v>
      </c>
      <c r="H579" s="3" t="str">
        <f t="shared" ref="H579:H642" si="19">_xlfn.IFS(G579=0,"☆",G579=0.5,"½", G579=1,"★",G579 =1.5,"★½", G579 =2.5,"★★½", G579=2,"★★", G579=3,"★★★", G579 =3.5,"★★★½",G579=4,"★★★★", G579 =4.5,"★★★★½", G579=5,"★★★★★")</f>
        <v>★</v>
      </c>
    </row>
    <row r="580" spans="1:8" x14ac:dyDescent="0.25">
      <c r="A580" s="4" t="s">
        <v>652</v>
      </c>
      <c r="B580" s="4" t="s">
        <v>29</v>
      </c>
      <c r="C580" s="4" t="s">
        <v>584</v>
      </c>
      <c r="D580" s="4" t="s">
        <v>27</v>
      </c>
      <c r="E580" s="4">
        <v>20</v>
      </c>
      <c r="F580" s="4">
        <v>1</v>
      </c>
      <c r="G580" s="6">
        <f t="shared" si="18"/>
        <v>3</v>
      </c>
      <c r="H580" s="3" t="str">
        <f t="shared" si="19"/>
        <v>★★★</v>
      </c>
    </row>
    <row r="581" spans="1:8" x14ac:dyDescent="0.25">
      <c r="A581" s="4" t="s">
        <v>804</v>
      </c>
      <c r="B581" s="4" t="s">
        <v>496</v>
      </c>
      <c r="C581" s="4" t="s">
        <v>676</v>
      </c>
      <c r="D581" s="4" t="s">
        <v>69</v>
      </c>
      <c r="E581" s="4">
        <v>19</v>
      </c>
      <c r="F581" s="4">
        <v>0</v>
      </c>
      <c r="G581" s="6">
        <f t="shared" si="18"/>
        <v>1</v>
      </c>
      <c r="H581" s="3" t="str">
        <f t="shared" si="19"/>
        <v>★</v>
      </c>
    </row>
    <row r="582" spans="1:8" x14ac:dyDescent="0.25">
      <c r="A582" s="4" t="s">
        <v>411</v>
      </c>
      <c r="B582" s="4" t="s">
        <v>17</v>
      </c>
      <c r="C582" s="4" t="s">
        <v>116</v>
      </c>
      <c r="D582" s="4" t="s">
        <v>24</v>
      </c>
      <c r="E582" s="4">
        <v>31</v>
      </c>
      <c r="F582" s="4">
        <v>0.56000000000000005</v>
      </c>
      <c r="G582" s="6">
        <f t="shared" si="18"/>
        <v>2</v>
      </c>
      <c r="H582" s="3" t="str">
        <f t="shared" si="19"/>
        <v>★★</v>
      </c>
    </row>
    <row r="583" spans="1:8" x14ac:dyDescent="0.25">
      <c r="A583" s="4" t="s">
        <v>411</v>
      </c>
      <c r="B583" s="4" t="s">
        <v>17</v>
      </c>
      <c r="C583" s="4" t="s">
        <v>116</v>
      </c>
      <c r="D583" s="4" t="s">
        <v>65</v>
      </c>
      <c r="E583" s="4">
        <v>31</v>
      </c>
      <c r="F583" s="4">
        <v>0</v>
      </c>
      <c r="G583" s="6">
        <f t="shared" si="18"/>
        <v>1</v>
      </c>
      <c r="H583" s="3" t="str">
        <f t="shared" si="19"/>
        <v>★</v>
      </c>
    </row>
    <row r="584" spans="1:8" x14ac:dyDescent="0.25">
      <c r="A584" s="4" t="s">
        <v>412</v>
      </c>
      <c r="B584" s="4" t="s">
        <v>29</v>
      </c>
      <c r="C584" s="4" t="s">
        <v>116</v>
      </c>
      <c r="D584" s="4" t="s">
        <v>65</v>
      </c>
      <c r="E584" s="4">
        <v>20</v>
      </c>
      <c r="F584" s="4">
        <v>1.78</v>
      </c>
      <c r="G584" s="6">
        <f t="shared" si="18"/>
        <v>5</v>
      </c>
      <c r="H584" s="3" t="str">
        <f t="shared" si="19"/>
        <v>★★★★★</v>
      </c>
    </row>
    <row r="585" spans="1:8" x14ac:dyDescent="0.25">
      <c r="A585" s="4" t="s">
        <v>805</v>
      </c>
      <c r="B585" s="4" t="s">
        <v>127</v>
      </c>
      <c r="C585" s="4" t="s">
        <v>676</v>
      </c>
      <c r="D585" s="4" t="s">
        <v>39</v>
      </c>
      <c r="E585" s="4">
        <v>18</v>
      </c>
      <c r="F585" s="4">
        <v>0</v>
      </c>
      <c r="G585" s="6">
        <f t="shared" si="18"/>
        <v>1</v>
      </c>
      <c r="H585" s="3" t="str">
        <f t="shared" si="19"/>
        <v>★</v>
      </c>
    </row>
    <row r="586" spans="1:8" x14ac:dyDescent="0.25">
      <c r="A586" s="4" t="s">
        <v>806</v>
      </c>
      <c r="B586" s="4" t="s">
        <v>29</v>
      </c>
      <c r="C586" s="4" t="s">
        <v>109</v>
      </c>
      <c r="D586" s="4" t="s">
        <v>33</v>
      </c>
      <c r="E586" s="4">
        <v>16</v>
      </c>
      <c r="F586" s="4">
        <v>0</v>
      </c>
      <c r="G586" s="6">
        <f t="shared" si="18"/>
        <v>1</v>
      </c>
      <c r="H586" s="3" t="str">
        <f t="shared" si="19"/>
        <v>★</v>
      </c>
    </row>
    <row r="587" spans="1:8" x14ac:dyDescent="0.25">
      <c r="A587" s="4" t="s">
        <v>562</v>
      </c>
      <c r="B587" s="4" t="s">
        <v>55</v>
      </c>
      <c r="C587" s="4" t="s">
        <v>471</v>
      </c>
      <c r="D587" s="4" t="s">
        <v>33</v>
      </c>
      <c r="E587" s="4">
        <v>21</v>
      </c>
      <c r="F587" s="4">
        <v>0.25</v>
      </c>
      <c r="G587" s="6">
        <f t="shared" si="18"/>
        <v>2</v>
      </c>
      <c r="H587" s="3" t="str">
        <f t="shared" si="19"/>
        <v>★★</v>
      </c>
    </row>
    <row r="588" spans="1:8" x14ac:dyDescent="0.25">
      <c r="A588" s="4" t="s">
        <v>563</v>
      </c>
      <c r="B588" s="4" t="s">
        <v>29</v>
      </c>
      <c r="C588" s="4" t="s">
        <v>471</v>
      </c>
      <c r="D588" s="4" t="s">
        <v>63</v>
      </c>
      <c r="E588" s="4">
        <v>21</v>
      </c>
      <c r="F588" s="4">
        <v>1.73</v>
      </c>
      <c r="G588" s="6">
        <f t="shared" si="18"/>
        <v>4</v>
      </c>
      <c r="H588" s="3" t="str">
        <f t="shared" si="19"/>
        <v>★★★★</v>
      </c>
    </row>
    <row r="589" spans="1:8" x14ac:dyDescent="0.25">
      <c r="A589" s="4" t="s">
        <v>413</v>
      </c>
      <c r="B589" s="4" t="s">
        <v>83</v>
      </c>
      <c r="C589" s="4" t="s">
        <v>109</v>
      </c>
      <c r="D589" s="4" t="s">
        <v>63</v>
      </c>
      <c r="E589" s="4">
        <v>29</v>
      </c>
      <c r="F589" s="4">
        <v>1.86</v>
      </c>
      <c r="G589" s="6">
        <f t="shared" si="18"/>
        <v>5</v>
      </c>
      <c r="H589" s="3" t="str">
        <f t="shared" si="19"/>
        <v>★★★★★</v>
      </c>
    </row>
    <row r="590" spans="1:8" x14ac:dyDescent="0.25">
      <c r="A590" s="4" t="s">
        <v>414</v>
      </c>
      <c r="B590" s="4" t="s">
        <v>67</v>
      </c>
      <c r="C590" s="4" t="s">
        <v>228</v>
      </c>
      <c r="D590" s="4" t="s">
        <v>50</v>
      </c>
      <c r="E590" s="4">
        <v>23</v>
      </c>
      <c r="F590" s="4">
        <v>0.7</v>
      </c>
      <c r="G590" s="6">
        <f t="shared" si="18"/>
        <v>2</v>
      </c>
      <c r="H590" s="3" t="str">
        <f t="shared" si="19"/>
        <v>★★</v>
      </c>
    </row>
    <row r="591" spans="1:8" x14ac:dyDescent="0.25">
      <c r="A591" s="4" t="s">
        <v>415</v>
      </c>
      <c r="B591" s="4" t="s">
        <v>185</v>
      </c>
      <c r="C591" s="4" t="s">
        <v>116</v>
      </c>
      <c r="D591" s="4" t="s">
        <v>18</v>
      </c>
      <c r="E591" s="4">
        <v>26</v>
      </c>
      <c r="F591" s="4">
        <v>1.43</v>
      </c>
      <c r="G591" s="6">
        <f t="shared" si="18"/>
        <v>4</v>
      </c>
      <c r="H591" s="3" t="str">
        <f t="shared" si="19"/>
        <v>★★★★</v>
      </c>
    </row>
    <row r="592" spans="1:8" x14ac:dyDescent="0.25">
      <c r="A592" s="4" t="s">
        <v>416</v>
      </c>
      <c r="B592" s="4" t="s">
        <v>17</v>
      </c>
      <c r="C592" s="4" t="s">
        <v>116</v>
      </c>
      <c r="D592" s="4" t="s">
        <v>87</v>
      </c>
      <c r="E592" s="4">
        <v>22</v>
      </c>
      <c r="F592" s="4">
        <v>1.37</v>
      </c>
      <c r="G592" s="6">
        <f t="shared" si="18"/>
        <v>4</v>
      </c>
      <c r="H592" s="3" t="str">
        <f t="shared" si="19"/>
        <v>★★★★</v>
      </c>
    </row>
    <row r="593" spans="1:8" x14ac:dyDescent="0.25">
      <c r="A593" s="4" t="s">
        <v>417</v>
      </c>
      <c r="B593" s="4" t="s">
        <v>279</v>
      </c>
      <c r="C593" s="4" t="s">
        <v>109</v>
      </c>
      <c r="D593" s="4" t="s">
        <v>87</v>
      </c>
      <c r="E593" s="4">
        <v>25</v>
      </c>
      <c r="F593" s="4">
        <v>1.32</v>
      </c>
      <c r="G593" s="6">
        <f t="shared" si="18"/>
        <v>4</v>
      </c>
      <c r="H593" s="3" t="str">
        <f t="shared" si="19"/>
        <v>★★★★</v>
      </c>
    </row>
    <row r="594" spans="1:8" x14ac:dyDescent="0.25">
      <c r="A594" s="4" t="s">
        <v>564</v>
      </c>
      <c r="B594" s="4" t="s">
        <v>29</v>
      </c>
      <c r="C594" s="4" t="s">
        <v>476</v>
      </c>
      <c r="D594" s="4" t="s">
        <v>50</v>
      </c>
      <c r="E594" s="4">
        <v>18</v>
      </c>
      <c r="F594" s="4">
        <v>0</v>
      </c>
      <c r="G594" s="6">
        <f t="shared" si="18"/>
        <v>1</v>
      </c>
      <c r="H594" s="3" t="str">
        <f t="shared" si="19"/>
        <v>★</v>
      </c>
    </row>
    <row r="595" spans="1:8" x14ac:dyDescent="0.25">
      <c r="A595" s="4" t="s">
        <v>88</v>
      </c>
      <c r="B595" s="4" t="s">
        <v>29</v>
      </c>
      <c r="C595" s="4" t="s">
        <v>676</v>
      </c>
      <c r="D595" s="4" t="s">
        <v>85</v>
      </c>
      <c r="E595" s="4">
        <v>30</v>
      </c>
      <c r="F595" s="4">
        <v>0</v>
      </c>
      <c r="G595" s="6">
        <f t="shared" si="18"/>
        <v>1</v>
      </c>
      <c r="H595" s="3" t="str">
        <f t="shared" si="19"/>
        <v>★</v>
      </c>
    </row>
    <row r="596" spans="1:8" x14ac:dyDescent="0.25">
      <c r="A596" s="4" t="s">
        <v>89</v>
      </c>
      <c r="B596" s="4" t="s">
        <v>29</v>
      </c>
      <c r="C596" s="4" t="s">
        <v>676</v>
      </c>
      <c r="D596" s="4" t="s">
        <v>69</v>
      </c>
      <c r="E596" s="4">
        <v>28</v>
      </c>
      <c r="F596" s="4">
        <v>0</v>
      </c>
      <c r="G596" s="6">
        <f t="shared" si="18"/>
        <v>1</v>
      </c>
      <c r="H596" s="3" t="str">
        <f t="shared" si="19"/>
        <v>★</v>
      </c>
    </row>
    <row r="597" spans="1:8" x14ac:dyDescent="0.25">
      <c r="A597" s="4" t="s">
        <v>90</v>
      </c>
      <c r="B597" s="4" t="s">
        <v>91</v>
      </c>
      <c r="C597" s="4" t="s">
        <v>676</v>
      </c>
      <c r="D597" s="4" t="s">
        <v>39</v>
      </c>
      <c r="E597" s="4">
        <v>26</v>
      </c>
      <c r="F597" s="4">
        <v>3</v>
      </c>
      <c r="G597" s="6">
        <f t="shared" si="18"/>
        <v>5</v>
      </c>
      <c r="H597" s="3" t="str">
        <f t="shared" si="19"/>
        <v>★★★★★</v>
      </c>
    </row>
    <row r="598" spans="1:8" x14ac:dyDescent="0.25">
      <c r="A598" s="4" t="s">
        <v>418</v>
      </c>
      <c r="B598" s="4" t="s">
        <v>29</v>
      </c>
      <c r="C598" s="4" t="s">
        <v>116</v>
      </c>
      <c r="D598" s="4" t="s">
        <v>53</v>
      </c>
      <c r="E598" s="4">
        <v>32</v>
      </c>
      <c r="F598" s="4">
        <v>1.33</v>
      </c>
      <c r="G598" s="6">
        <f t="shared" si="18"/>
        <v>4</v>
      </c>
      <c r="H598" s="3" t="str">
        <f t="shared" si="19"/>
        <v>★★★★</v>
      </c>
    </row>
    <row r="599" spans="1:8" x14ac:dyDescent="0.25">
      <c r="A599" s="4" t="s">
        <v>419</v>
      </c>
      <c r="B599" s="4" t="s">
        <v>29</v>
      </c>
      <c r="C599" s="4" t="s">
        <v>109</v>
      </c>
      <c r="D599" s="4" t="s">
        <v>33</v>
      </c>
      <c r="E599" s="4">
        <v>27</v>
      </c>
      <c r="F599" s="4">
        <v>0.73</v>
      </c>
      <c r="G599" s="6">
        <f t="shared" si="18"/>
        <v>2</v>
      </c>
      <c r="H599" s="3" t="str">
        <f t="shared" si="19"/>
        <v>★★</v>
      </c>
    </row>
    <row r="600" spans="1:8" x14ac:dyDescent="0.25">
      <c r="A600" s="4" t="s">
        <v>653</v>
      </c>
      <c r="B600" s="4" t="s">
        <v>29</v>
      </c>
      <c r="C600" s="4" t="s">
        <v>584</v>
      </c>
      <c r="D600" s="4" t="s">
        <v>39</v>
      </c>
      <c r="E600" s="4">
        <v>26</v>
      </c>
      <c r="F600" s="4">
        <v>2.4300000000000002</v>
      </c>
      <c r="G600" s="6">
        <f t="shared" si="18"/>
        <v>5</v>
      </c>
      <c r="H600" s="3" t="str">
        <f t="shared" si="19"/>
        <v>★★★★★</v>
      </c>
    </row>
    <row r="601" spans="1:8" x14ac:dyDescent="0.25">
      <c r="A601" s="4" t="s">
        <v>420</v>
      </c>
      <c r="B601" s="4" t="s">
        <v>52</v>
      </c>
      <c r="C601" s="4" t="s">
        <v>109</v>
      </c>
      <c r="D601" s="4" t="s">
        <v>43</v>
      </c>
      <c r="E601" s="4">
        <v>18</v>
      </c>
      <c r="F601" s="4">
        <v>0</v>
      </c>
      <c r="G601" s="6">
        <f t="shared" si="18"/>
        <v>1</v>
      </c>
      <c r="H601" s="3" t="str">
        <f t="shared" si="19"/>
        <v>★</v>
      </c>
    </row>
    <row r="602" spans="1:8" x14ac:dyDescent="0.25">
      <c r="A602" s="4" t="s">
        <v>421</v>
      </c>
      <c r="B602" s="4" t="s">
        <v>29</v>
      </c>
      <c r="C602" s="4" t="s">
        <v>109</v>
      </c>
      <c r="D602" s="4" t="s">
        <v>39</v>
      </c>
      <c r="E602" s="4">
        <v>27</v>
      </c>
      <c r="F602" s="4">
        <v>2.5</v>
      </c>
      <c r="G602" s="6">
        <f t="shared" si="18"/>
        <v>5</v>
      </c>
      <c r="H602" s="3" t="str">
        <f t="shared" si="19"/>
        <v>★★★★★</v>
      </c>
    </row>
    <row r="603" spans="1:8" x14ac:dyDescent="0.25">
      <c r="A603" s="4" t="s">
        <v>807</v>
      </c>
      <c r="C603" s="4" t="s">
        <v>676</v>
      </c>
      <c r="D603" s="4" t="s">
        <v>81</v>
      </c>
      <c r="E603" s="4" t="s">
        <v>96</v>
      </c>
      <c r="F603" s="4">
        <v>0</v>
      </c>
      <c r="G603" s="6">
        <f t="shared" si="18"/>
        <v>1</v>
      </c>
      <c r="H603" s="3" t="str">
        <f t="shared" si="19"/>
        <v>★</v>
      </c>
    </row>
    <row r="604" spans="1:8" x14ac:dyDescent="0.25">
      <c r="A604" s="4" t="s">
        <v>808</v>
      </c>
      <c r="B604" s="4" t="s">
        <v>29</v>
      </c>
      <c r="C604" s="4" t="s">
        <v>584</v>
      </c>
      <c r="D604" s="4" t="s">
        <v>30</v>
      </c>
      <c r="E604" s="4">
        <v>19</v>
      </c>
      <c r="F604" s="4">
        <v>0</v>
      </c>
      <c r="G604" s="6">
        <f t="shared" si="18"/>
        <v>1</v>
      </c>
      <c r="H604" s="3" t="str">
        <f t="shared" si="19"/>
        <v>★</v>
      </c>
    </row>
    <row r="605" spans="1:8" x14ac:dyDescent="0.25">
      <c r="A605" s="4" t="s">
        <v>422</v>
      </c>
      <c r="B605" s="4" t="s">
        <v>60</v>
      </c>
      <c r="C605" s="4" t="s">
        <v>109</v>
      </c>
      <c r="D605" s="4" t="s">
        <v>58</v>
      </c>
      <c r="E605" s="4">
        <v>21</v>
      </c>
      <c r="F605" s="4">
        <v>1</v>
      </c>
      <c r="G605" s="6">
        <f t="shared" si="18"/>
        <v>3</v>
      </c>
      <c r="H605" s="3" t="str">
        <f t="shared" si="19"/>
        <v>★★★</v>
      </c>
    </row>
    <row r="606" spans="1:8" x14ac:dyDescent="0.25">
      <c r="A606" s="4" t="s">
        <v>565</v>
      </c>
      <c r="B606" s="4" t="s">
        <v>60</v>
      </c>
      <c r="C606" s="4" t="s">
        <v>471</v>
      </c>
      <c r="D606" s="4" t="s">
        <v>58</v>
      </c>
      <c r="E606" s="4">
        <v>19</v>
      </c>
      <c r="F606" s="4">
        <v>0.83</v>
      </c>
      <c r="G606" s="6">
        <f t="shared" si="18"/>
        <v>2</v>
      </c>
      <c r="H606" s="3" t="str">
        <f t="shared" si="19"/>
        <v>★★</v>
      </c>
    </row>
    <row r="607" spans="1:8" x14ac:dyDescent="0.25">
      <c r="A607" s="4" t="s">
        <v>809</v>
      </c>
      <c r="B607" s="4" t="s">
        <v>29</v>
      </c>
      <c r="C607" s="4" t="s">
        <v>109</v>
      </c>
      <c r="D607" s="4" t="s">
        <v>63</v>
      </c>
      <c r="E607" s="4">
        <v>20</v>
      </c>
      <c r="F607" s="4">
        <v>0</v>
      </c>
      <c r="G607" s="6">
        <f t="shared" si="18"/>
        <v>1</v>
      </c>
      <c r="H607" s="3" t="str">
        <f t="shared" si="19"/>
        <v>★</v>
      </c>
    </row>
    <row r="608" spans="1:8" x14ac:dyDescent="0.25">
      <c r="A608" s="4" t="s">
        <v>423</v>
      </c>
      <c r="B608" s="4" t="s">
        <v>29</v>
      </c>
      <c r="C608" s="4" t="s">
        <v>109</v>
      </c>
      <c r="D608" s="4" t="s">
        <v>65</v>
      </c>
      <c r="E608" s="4">
        <v>22</v>
      </c>
      <c r="F608" s="4">
        <v>2.1800000000000002</v>
      </c>
      <c r="G608" s="6">
        <f t="shared" si="18"/>
        <v>5</v>
      </c>
      <c r="H608" s="3" t="str">
        <f t="shared" si="19"/>
        <v>★★★★★</v>
      </c>
    </row>
    <row r="609" spans="1:8" x14ac:dyDescent="0.25">
      <c r="A609" s="4" t="s">
        <v>424</v>
      </c>
      <c r="B609" s="4" t="s">
        <v>29</v>
      </c>
      <c r="C609" s="4" t="s">
        <v>109</v>
      </c>
      <c r="D609" s="4" t="s">
        <v>69</v>
      </c>
      <c r="E609" s="4">
        <v>25</v>
      </c>
      <c r="F609" s="4">
        <v>0.94</v>
      </c>
      <c r="G609" s="6">
        <f t="shared" si="18"/>
        <v>3</v>
      </c>
      <c r="H609" s="3" t="str">
        <f t="shared" si="19"/>
        <v>★★★</v>
      </c>
    </row>
    <row r="610" spans="1:8" x14ac:dyDescent="0.25">
      <c r="A610" s="4" t="s">
        <v>424</v>
      </c>
      <c r="B610" s="4" t="s">
        <v>29</v>
      </c>
      <c r="C610" s="4" t="s">
        <v>109</v>
      </c>
      <c r="D610" s="4" t="s">
        <v>35</v>
      </c>
      <c r="E610" s="4">
        <v>25</v>
      </c>
      <c r="F610" s="4">
        <v>1.94</v>
      </c>
      <c r="G610" s="6">
        <f t="shared" si="18"/>
        <v>5</v>
      </c>
      <c r="H610" s="3" t="str">
        <f t="shared" si="19"/>
        <v>★★★★★</v>
      </c>
    </row>
    <row r="611" spans="1:8" x14ac:dyDescent="0.25">
      <c r="A611" s="4" t="s">
        <v>425</v>
      </c>
      <c r="B611" s="4" t="s">
        <v>29</v>
      </c>
      <c r="C611" s="4" t="s">
        <v>109</v>
      </c>
      <c r="D611" s="4" t="s">
        <v>53</v>
      </c>
      <c r="E611" s="4">
        <v>28</v>
      </c>
      <c r="F611" s="4">
        <v>0.89</v>
      </c>
      <c r="G611" s="6">
        <f t="shared" si="18"/>
        <v>3</v>
      </c>
      <c r="H611" s="3" t="str">
        <f t="shared" si="19"/>
        <v>★★★</v>
      </c>
    </row>
    <row r="612" spans="1:8" x14ac:dyDescent="0.25">
      <c r="A612" s="4" t="s">
        <v>426</v>
      </c>
      <c r="B612" s="4" t="s">
        <v>83</v>
      </c>
      <c r="C612" s="4" t="s">
        <v>109</v>
      </c>
      <c r="D612" s="4" t="s">
        <v>63</v>
      </c>
      <c r="E612" s="4">
        <v>21</v>
      </c>
      <c r="F612" s="4">
        <v>1.77</v>
      </c>
      <c r="G612" s="6">
        <f t="shared" si="18"/>
        <v>5</v>
      </c>
      <c r="H612" s="3" t="str">
        <f t="shared" si="19"/>
        <v>★★★★★</v>
      </c>
    </row>
    <row r="613" spans="1:8" x14ac:dyDescent="0.25">
      <c r="A613" s="4" t="s">
        <v>427</v>
      </c>
      <c r="B613" s="4" t="s">
        <v>29</v>
      </c>
      <c r="C613" s="4" t="s">
        <v>109</v>
      </c>
      <c r="D613" s="4" t="s">
        <v>53</v>
      </c>
      <c r="E613" s="4">
        <v>27</v>
      </c>
      <c r="F613" s="4">
        <v>0.84</v>
      </c>
      <c r="G613" s="6">
        <f t="shared" si="18"/>
        <v>2</v>
      </c>
      <c r="H613" s="3" t="str">
        <f t="shared" si="19"/>
        <v>★★</v>
      </c>
    </row>
    <row r="614" spans="1:8" x14ac:dyDescent="0.25">
      <c r="A614" s="4" t="s">
        <v>566</v>
      </c>
      <c r="B614" s="4" t="s">
        <v>29</v>
      </c>
      <c r="C614" s="4" t="s">
        <v>471</v>
      </c>
      <c r="D614" s="4" t="s">
        <v>33</v>
      </c>
      <c r="E614" s="4">
        <v>22</v>
      </c>
      <c r="F614" s="4">
        <v>0.79</v>
      </c>
      <c r="G614" s="6">
        <f t="shared" si="18"/>
        <v>2</v>
      </c>
      <c r="H614" s="3" t="str">
        <f t="shared" si="19"/>
        <v>★★</v>
      </c>
    </row>
    <row r="615" spans="1:8" x14ac:dyDescent="0.25">
      <c r="A615" s="4" t="s">
        <v>428</v>
      </c>
      <c r="B615" s="4" t="s">
        <v>14</v>
      </c>
      <c r="C615" s="4" t="s">
        <v>109</v>
      </c>
      <c r="D615" s="4" t="s">
        <v>47</v>
      </c>
      <c r="E615" s="4">
        <v>28</v>
      </c>
      <c r="F615" s="4">
        <v>1.57</v>
      </c>
      <c r="G615" s="6">
        <f t="shared" si="18"/>
        <v>4</v>
      </c>
      <c r="H615" s="3" t="str">
        <f t="shared" si="19"/>
        <v>★★★★</v>
      </c>
    </row>
    <row r="616" spans="1:8" x14ac:dyDescent="0.25">
      <c r="A616" s="4" t="s">
        <v>810</v>
      </c>
      <c r="B616" s="4" t="s">
        <v>29</v>
      </c>
      <c r="C616" s="4" t="s">
        <v>109</v>
      </c>
      <c r="D616" s="4" t="s">
        <v>53</v>
      </c>
      <c r="E616" s="4" t="s">
        <v>96</v>
      </c>
      <c r="F616" s="4">
        <v>0</v>
      </c>
      <c r="G616" s="6">
        <f t="shared" si="18"/>
        <v>1</v>
      </c>
      <c r="H616" s="3" t="str">
        <f t="shared" si="19"/>
        <v>★</v>
      </c>
    </row>
    <row r="617" spans="1:8" x14ac:dyDescent="0.25">
      <c r="A617" s="4" t="s">
        <v>429</v>
      </c>
      <c r="B617" s="4" t="s">
        <v>29</v>
      </c>
      <c r="C617" s="4" t="s">
        <v>109</v>
      </c>
      <c r="D617" s="4" t="s">
        <v>87</v>
      </c>
      <c r="E617" s="4">
        <v>20</v>
      </c>
      <c r="F617" s="4">
        <v>1.27</v>
      </c>
      <c r="G617" s="6">
        <f t="shared" si="18"/>
        <v>4</v>
      </c>
      <c r="H617" s="3" t="str">
        <f t="shared" si="19"/>
        <v>★★★★</v>
      </c>
    </row>
    <row r="618" spans="1:8" x14ac:dyDescent="0.25">
      <c r="A618" s="4" t="s">
        <v>430</v>
      </c>
      <c r="B618" s="4" t="s">
        <v>29</v>
      </c>
      <c r="C618" s="4" t="s">
        <v>109</v>
      </c>
      <c r="D618" s="4" t="s">
        <v>43</v>
      </c>
      <c r="E618" s="4">
        <v>21</v>
      </c>
      <c r="F618" s="4">
        <v>0</v>
      </c>
      <c r="G618" s="6">
        <f t="shared" si="18"/>
        <v>1</v>
      </c>
      <c r="H618" s="3" t="str">
        <f t="shared" si="19"/>
        <v>★</v>
      </c>
    </row>
    <row r="619" spans="1:8" x14ac:dyDescent="0.25">
      <c r="A619" s="4" t="s">
        <v>431</v>
      </c>
      <c r="B619" s="4" t="s">
        <v>162</v>
      </c>
      <c r="C619" s="4" t="s">
        <v>116</v>
      </c>
      <c r="D619" s="4" t="s">
        <v>87</v>
      </c>
      <c r="E619" s="4">
        <v>24</v>
      </c>
      <c r="F619" s="4">
        <v>1.47</v>
      </c>
      <c r="G619" s="6">
        <f t="shared" si="18"/>
        <v>4</v>
      </c>
      <c r="H619" s="3" t="str">
        <f t="shared" si="19"/>
        <v>★★★★</v>
      </c>
    </row>
    <row r="620" spans="1:8" x14ac:dyDescent="0.25">
      <c r="A620" s="4" t="s">
        <v>432</v>
      </c>
      <c r="B620" s="4" t="s">
        <v>127</v>
      </c>
      <c r="C620" s="4" t="s">
        <v>109</v>
      </c>
      <c r="D620" s="4" t="s">
        <v>63</v>
      </c>
      <c r="E620" s="4">
        <v>24</v>
      </c>
      <c r="F620" s="4">
        <v>1.91</v>
      </c>
      <c r="G620" s="6">
        <f t="shared" si="18"/>
        <v>5</v>
      </c>
      <c r="H620" s="3" t="str">
        <f t="shared" si="19"/>
        <v>★★★★★</v>
      </c>
    </row>
    <row r="621" spans="1:8" x14ac:dyDescent="0.25">
      <c r="A621" s="4" t="s">
        <v>433</v>
      </c>
      <c r="B621" s="4" t="s">
        <v>434</v>
      </c>
      <c r="C621" s="4" t="s">
        <v>109</v>
      </c>
      <c r="D621" s="4" t="s">
        <v>63</v>
      </c>
      <c r="E621" s="4">
        <v>22</v>
      </c>
      <c r="F621" s="4">
        <v>1.95</v>
      </c>
      <c r="G621" s="6">
        <f t="shared" si="18"/>
        <v>5</v>
      </c>
      <c r="H621" s="3" t="str">
        <f t="shared" si="19"/>
        <v>★★★★★</v>
      </c>
    </row>
    <row r="622" spans="1:8" x14ac:dyDescent="0.25">
      <c r="A622" s="4" t="s">
        <v>435</v>
      </c>
      <c r="B622" s="4" t="s">
        <v>29</v>
      </c>
      <c r="C622" s="4" t="s">
        <v>109</v>
      </c>
      <c r="D622" s="4" t="s">
        <v>30</v>
      </c>
      <c r="E622" s="4">
        <v>32</v>
      </c>
      <c r="F622" s="4">
        <v>1</v>
      </c>
      <c r="G622" s="6">
        <f t="shared" si="18"/>
        <v>3</v>
      </c>
      <c r="H622" s="3" t="str">
        <f t="shared" si="19"/>
        <v>★★★</v>
      </c>
    </row>
    <row r="623" spans="1:8" x14ac:dyDescent="0.25">
      <c r="A623" s="4" t="s">
        <v>811</v>
      </c>
      <c r="B623" s="4" t="s">
        <v>91</v>
      </c>
      <c r="C623" s="4" t="s">
        <v>109</v>
      </c>
      <c r="D623" s="4" t="s">
        <v>50</v>
      </c>
      <c r="E623" s="4">
        <v>19</v>
      </c>
      <c r="F623" s="4">
        <v>0</v>
      </c>
      <c r="G623" s="6">
        <f t="shared" si="18"/>
        <v>1</v>
      </c>
      <c r="H623" s="3" t="str">
        <f t="shared" si="19"/>
        <v>★</v>
      </c>
    </row>
    <row r="624" spans="1:8" x14ac:dyDescent="0.25">
      <c r="A624" s="4" t="s">
        <v>654</v>
      </c>
      <c r="B624" s="4" t="s">
        <v>29</v>
      </c>
      <c r="C624" s="4" t="s">
        <v>584</v>
      </c>
      <c r="D624" s="4" t="s">
        <v>43</v>
      </c>
      <c r="E624" s="4">
        <v>25</v>
      </c>
      <c r="F624" s="4">
        <v>1.24</v>
      </c>
      <c r="G624" s="6">
        <f t="shared" si="18"/>
        <v>3</v>
      </c>
      <c r="H624" s="3" t="str">
        <f t="shared" si="19"/>
        <v>★★★</v>
      </c>
    </row>
    <row r="625" spans="1:8" x14ac:dyDescent="0.25">
      <c r="A625" s="4" t="s">
        <v>655</v>
      </c>
      <c r="B625" s="4" t="s">
        <v>20</v>
      </c>
      <c r="C625" s="4" t="s">
        <v>584</v>
      </c>
      <c r="D625" s="4" t="s">
        <v>39</v>
      </c>
      <c r="E625" s="4">
        <v>21</v>
      </c>
      <c r="F625" s="4">
        <v>2.25</v>
      </c>
      <c r="G625" s="6">
        <f t="shared" si="18"/>
        <v>5</v>
      </c>
      <c r="H625" s="3" t="str">
        <f t="shared" si="19"/>
        <v>★★★★★</v>
      </c>
    </row>
    <row r="626" spans="1:8" x14ac:dyDescent="0.25">
      <c r="A626" s="4" t="s">
        <v>656</v>
      </c>
      <c r="B626" s="4" t="s">
        <v>279</v>
      </c>
      <c r="C626" s="4" t="s">
        <v>584</v>
      </c>
      <c r="D626" s="4" t="s">
        <v>27</v>
      </c>
      <c r="E626" s="4">
        <v>30</v>
      </c>
      <c r="F626" s="4">
        <v>0</v>
      </c>
      <c r="G626" s="6">
        <f t="shared" si="18"/>
        <v>1</v>
      </c>
      <c r="H626" s="3" t="str">
        <f t="shared" si="19"/>
        <v>★</v>
      </c>
    </row>
    <row r="627" spans="1:8" x14ac:dyDescent="0.25">
      <c r="A627" s="4" t="s">
        <v>436</v>
      </c>
      <c r="B627" s="4" t="s">
        <v>29</v>
      </c>
      <c r="C627" s="4" t="s">
        <v>116</v>
      </c>
      <c r="D627" s="4" t="s">
        <v>27</v>
      </c>
      <c r="E627" s="4">
        <v>30</v>
      </c>
      <c r="F627" s="4">
        <v>1</v>
      </c>
      <c r="G627" s="6">
        <f t="shared" si="18"/>
        <v>3</v>
      </c>
      <c r="H627" s="3" t="str">
        <f t="shared" si="19"/>
        <v>★★★</v>
      </c>
    </row>
    <row r="628" spans="1:8" x14ac:dyDescent="0.25">
      <c r="A628" s="4" t="s">
        <v>657</v>
      </c>
      <c r="B628" s="4" t="s">
        <v>20</v>
      </c>
      <c r="C628" s="4" t="s">
        <v>584</v>
      </c>
      <c r="D628" s="4" t="s">
        <v>81</v>
      </c>
      <c r="E628" s="4">
        <v>25</v>
      </c>
      <c r="F628" s="4">
        <v>1.55</v>
      </c>
      <c r="G628" s="6">
        <f t="shared" si="18"/>
        <v>4</v>
      </c>
      <c r="H628" s="3" t="str">
        <f t="shared" si="19"/>
        <v>★★★★</v>
      </c>
    </row>
    <row r="629" spans="1:8" x14ac:dyDescent="0.25">
      <c r="A629" s="4" t="s">
        <v>567</v>
      </c>
      <c r="B629" s="4" t="s">
        <v>568</v>
      </c>
      <c r="C629" s="4" t="s">
        <v>471</v>
      </c>
      <c r="D629" s="4" t="s">
        <v>69</v>
      </c>
      <c r="E629" s="4">
        <v>25</v>
      </c>
      <c r="F629" s="4">
        <v>0.44</v>
      </c>
      <c r="G629" s="6">
        <f t="shared" si="18"/>
        <v>2</v>
      </c>
      <c r="H629" s="3" t="str">
        <f t="shared" si="19"/>
        <v>★★</v>
      </c>
    </row>
    <row r="630" spans="1:8" x14ac:dyDescent="0.25">
      <c r="A630" s="4" t="s">
        <v>658</v>
      </c>
      <c r="B630" s="4" t="s">
        <v>215</v>
      </c>
      <c r="C630" s="4" t="s">
        <v>584</v>
      </c>
      <c r="D630" s="4" t="s">
        <v>69</v>
      </c>
      <c r="E630" s="4">
        <v>26</v>
      </c>
      <c r="F630" s="4">
        <v>0</v>
      </c>
      <c r="G630" s="6">
        <f t="shared" si="18"/>
        <v>1</v>
      </c>
      <c r="H630" s="3" t="str">
        <f t="shared" si="19"/>
        <v>★</v>
      </c>
    </row>
    <row r="631" spans="1:8" x14ac:dyDescent="0.25">
      <c r="A631" s="4" t="s">
        <v>569</v>
      </c>
      <c r="B631" s="4" t="s">
        <v>83</v>
      </c>
      <c r="C631" s="4" t="s">
        <v>476</v>
      </c>
      <c r="D631" s="4" t="s">
        <v>81</v>
      </c>
      <c r="E631" s="4">
        <v>21</v>
      </c>
      <c r="F631" s="4">
        <v>1.21</v>
      </c>
      <c r="G631" s="6">
        <f t="shared" si="18"/>
        <v>3</v>
      </c>
      <c r="H631" s="3" t="str">
        <f t="shared" si="19"/>
        <v>★★★</v>
      </c>
    </row>
    <row r="632" spans="1:8" x14ac:dyDescent="0.25">
      <c r="A632" s="4" t="s">
        <v>437</v>
      </c>
      <c r="B632" s="4" t="s">
        <v>29</v>
      </c>
      <c r="C632" s="4" t="s">
        <v>109</v>
      </c>
      <c r="D632" s="4" t="s">
        <v>35</v>
      </c>
      <c r="E632" s="4">
        <v>30</v>
      </c>
      <c r="F632" s="4">
        <v>2.17</v>
      </c>
      <c r="G632" s="6">
        <f t="shared" si="18"/>
        <v>5</v>
      </c>
      <c r="H632" s="3" t="str">
        <f t="shared" si="19"/>
        <v>★★★★★</v>
      </c>
    </row>
    <row r="633" spans="1:8" x14ac:dyDescent="0.25">
      <c r="A633" s="4" t="s">
        <v>438</v>
      </c>
      <c r="B633" s="4" t="s">
        <v>219</v>
      </c>
      <c r="C633" s="4" t="s">
        <v>109</v>
      </c>
      <c r="D633" s="4" t="s">
        <v>24</v>
      </c>
      <c r="E633" s="4">
        <v>27</v>
      </c>
      <c r="F633" s="4">
        <v>0.76</v>
      </c>
      <c r="G633" s="6">
        <f t="shared" si="18"/>
        <v>2</v>
      </c>
      <c r="H633" s="3" t="str">
        <f t="shared" si="19"/>
        <v>★★</v>
      </c>
    </row>
    <row r="634" spans="1:8" x14ac:dyDescent="0.25">
      <c r="A634" s="4" t="s">
        <v>570</v>
      </c>
      <c r="B634" s="4" t="s">
        <v>162</v>
      </c>
      <c r="C634" s="4" t="s">
        <v>476</v>
      </c>
      <c r="D634" s="4" t="s">
        <v>85</v>
      </c>
      <c r="E634" s="4">
        <v>26</v>
      </c>
      <c r="F634" s="4">
        <v>1.29</v>
      </c>
      <c r="G634" s="6">
        <f t="shared" si="18"/>
        <v>4</v>
      </c>
      <c r="H634" s="3" t="str">
        <f t="shared" si="19"/>
        <v>★★★★</v>
      </c>
    </row>
    <row r="635" spans="1:8" x14ac:dyDescent="0.25">
      <c r="A635" s="4" t="s">
        <v>439</v>
      </c>
      <c r="B635" s="4" t="s">
        <v>241</v>
      </c>
      <c r="C635" s="4" t="s">
        <v>109</v>
      </c>
      <c r="D635" s="4" t="s">
        <v>15</v>
      </c>
      <c r="E635" s="4">
        <v>25</v>
      </c>
      <c r="F635" s="4">
        <v>2.15</v>
      </c>
      <c r="G635" s="6">
        <f t="shared" si="18"/>
        <v>5</v>
      </c>
      <c r="H635" s="3" t="str">
        <f t="shared" si="19"/>
        <v>★★★★★</v>
      </c>
    </row>
    <row r="636" spans="1:8" x14ac:dyDescent="0.25">
      <c r="A636" s="4" t="s">
        <v>440</v>
      </c>
      <c r="B636" s="4" t="s">
        <v>29</v>
      </c>
      <c r="C636" s="4" t="s">
        <v>109</v>
      </c>
      <c r="D636" s="4" t="s">
        <v>69</v>
      </c>
      <c r="E636" s="4">
        <v>23</v>
      </c>
      <c r="F636" s="4">
        <v>1.44</v>
      </c>
      <c r="G636" s="6">
        <f t="shared" si="18"/>
        <v>4</v>
      </c>
      <c r="H636" s="3" t="str">
        <f t="shared" si="19"/>
        <v>★★★★</v>
      </c>
    </row>
    <row r="637" spans="1:8" x14ac:dyDescent="0.25">
      <c r="A637" s="4" t="s">
        <v>441</v>
      </c>
      <c r="B637" s="4" t="s">
        <v>279</v>
      </c>
      <c r="C637" s="4" t="s">
        <v>116</v>
      </c>
      <c r="D637" s="4" t="s">
        <v>24</v>
      </c>
      <c r="E637" s="4">
        <v>26</v>
      </c>
      <c r="F637" s="4">
        <v>0.56999999999999995</v>
      </c>
      <c r="G637" s="6">
        <f t="shared" si="18"/>
        <v>2</v>
      </c>
      <c r="H637" s="3" t="str">
        <f t="shared" si="19"/>
        <v>★★</v>
      </c>
    </row>
    <row r="638" spans="1:8" x14ac:dyDescent="0.25">
      <c r="A638" s="4" t="s">
        <v>812</v>
      </c>
      <c r="B638" s="4" t="s">
        <v>52</v>
      </c>
      <c r="C638" s="4" t="s">
        <v>109</v>
      </c>
      <c r="D638" s="4" t="s">
        <v>85</v>
      </c>
      <c r="E638" s="4">
        <v>18</v>
      </c>
      <c r="F638" s="4">
        <v>0</v>
      </c>
      <c r="G638" s="6">
        <f t="shared" si="18"/>
        <v>1</v>
      </c>
      <c r="H638" s="3" t="str">
        <f t="shared" si="19"/>
        <v>★</v>
      </c>
    </row>
    <row r="639" spans="1:8" x14ac:dyDescent="0.25">
      <c r="A639" s="4" t="s">
        <v>813</v>
      </c>
      <c r="B639" s="4" t="s">
        <v>29</v>
      </c>
      <c r="C639" s="4" t="s">
        <v>676</v>
      </c>
      <c r="D639" s="4" t="s">
        <v>27</v>
      </c>
      <c r="E639" s="4">
        <v>19</v>
      </c>
      <c r="F639" s="4">
        <v>0</v>
      </c>
      <c r="G639" s="6">
        <f t="shared" si="18"/>
        <v>1</v>
      </c>
      <c r="H639" s="3" t="str">
        <f t="shared" si="19"/>
        <v>★</v>
      </c>
    </row>
    <row r="640" spans="1:8" x14ac:dyDescent="0.25">
      <c r="A640" s="4" t="s">
        <v>571</v>
      </c>
      <c r="B640" s="4" t="s">
        <v>241</v>
      </c>
      <c r="C640" s="4" t="s">
        <v>476</v>
      </c>
      <c r="D640" s="4" t="s">
        <v>50</v>
      </c>
      <c r="E640" s="4">
        <v>19</v>
      </c>
      <c r="F640" s="4">
        <v>0.86</v>
      </c>
      <c r="G640" s="6">
        <f t="shared" si="18"/>
        <v>3</v>
      </c>
      <c r="H640" s="3" t="str">
        <f t="shared" si="19"/>
        <v>★★★</v>
      </c>
    </row>
    <row r="641" spans="1:8" x14ac:dyDescent="0.25">
      <c r="A641" s="4" t="s">
        <v>814</v>
      </c>
      <c r="B641" s="4" t="s">
        <v>29</v>
      </c>
      <c r="C641" s="4" t="s">
        <v>116</v>
      </c>
      <c r="D641" s="4" t="s">
        <v>21</v>
      </c>
      <c r="E641" s="4">
        <v>17</v>
      </c>
      <c r="F641" s="4">
        <v>0</v>
      </c>
      <c r="G641" s="6">
        <f t="shared" si="18"/>
        <v>1</v>
      </c>
      <c r="H641" s="3" t="str">
        <f t="shared" si="19"/>
        <v>★</v>
      </c>
    </row>
    <row r="642" spans="1:8" x14ac:dyDescent="0.25">
      <c r="A642" s="4" t="s">
        <v>442</v>
      </c>
      <c r="B642" s="4" t="s">
        <v>17</v>
      </c>
      <c r="C642" s="4" t="s">
        <v>109</v>
      </c>
      <c r="D642" s="4" t="s">
        <v>33</v>
      </c>
      <c r="E642" s="4">
        <v>22</v>
      </c>
      <c r="F642" s="4">
        <v>0.8</v>
      </c>
      <c r="G642" s="6">
        <f t="shared" si="18"/>
        <v>2</v>
      </c>
      <c r="H642" s="3" t="str">
        <f t="shared" si="19"/>
        <v>★★</v>
      </c>
    </row>
    <row r="643" spans="1:8" x14ac:dyDescent="0.25">
      <c r="A643" s="4" t="s">
        <v>443</v>
      </c>
      <c r="B643" s="4" t="s">
        <v>60</v>
      </c>
      <c r="C643" s="4" t="s">
        <v>109</v>
      </c>
      <c r="D643" s="4" t="s">
        <v>15</v>
      </c>
      <c r="E643" s="4">
        <v>30</v>
      </c>
      <c r="F643" s="4">
        <v>2.41</v>
      </c>
      <c r="G643" s="6">
        <f t="shared" ref="G643:G692" si="20">VLOOKUP(F643,$K$10:$M$15,3,1)</f>
        <v>5</v>
      </c>
      <c r="H643" s="3" t="str">
        <f t="shared" ref="H643:H692" si="21">_xlfn.IFS(G643=0,"☆",G643=0.5,"½", G643=1,"★",G643 =1.5,"★½", G643 =2.5,"★★½", G643=2,"★★", G643=3,"★★★", G643 =3.5,"★★★½",G643=4,"★★★★", G643 =4.5,"★★★★½", G643=5,"★★★★★")</f>
        <v>★★★★★</v>
      </c>
    </row>
    <row r="644" spans="1:8" x14ac:dyDescent="0.25">
      <c r="A644" s="4" t="s">
        <v>444</v>
      </c>
      <c r="B644" s="4" t="s">
        <v>17</v>
      </c>
      <c r="C644" s="4" t="s">
        <v>109</v>
      </c>
      <c r="D644" s="4" t="s">
        <v>47</v>
      </c>
      <c r="E644" s="4">
        <v>28</v>
      </c>
      <c r="F644" s="4">
        <v>1.73</v>
      </c>
      <c r="G644" s="6">
        <f t="shared" si="20"/>
        <v>4</v>
      </c>
      <c r="H644" s="3" t="str">
        <f t="shared" si="21"/>
        <v>★★★★</v>
      </c>
    </row>
    <row r="645" spans="1:8" x14ac:dyDescent="0.25">
      <c r="A645" s="4" t="s">
        <v>659</v>
      </c>
      <c r="B645" s="4" t="s">
        <v>29</v>
      </c>
      <c r="C645" s="4" t="s">
        <v>584</v>
      </c>
      <c r="D645" s="4" t="s">
        <v>87</v>
      </c>
      <c r="E645" s="4">
        <v>34</v>
      </c>
      <c r="F645" s="4">
        <v>1.56</v>
      </c>
      <c r="G645" s="6">
        <f t="shared" si="20"/>
        <v>4</v>
      </c>
      <c r="H645" s="3" t="str">
        <f t="shared" si="21"/>
        <v>★★★★</v>
      </c>
    </row>
    <row r="646" spans="1:8" x14ac:dyDescent="0.25">
      <c r="A646" s="4" t="s">
        <v>445</v>
      </c>
      <c r="B646" s="4" t="s">
        <v>60</v>
      </c>
      <c r="C646" s="4" t="s">
        <v>109</v>
      </c>
      <c r="D646" s="4" t="s">
        <v>85</v>
      </c>
      <c r="E646" s="4">
        <v>29</v>
      </c>
      <c r="F646" s="4">
        <v>1.24</v>
      </c>
      <c r="G646" s="6">
        <f t="shared" si="20"/>
        <v>3</v>
      </c>
      <c r="H646" s="3" t="str">
        <f t="shared" si="21"/>
        <v>★★★</v>
      </c>
    </row>
    <row r="647" spans="1:8" x14ac:dyDescent="0.25">
      <c r="A647" s="4" t="s">
        <v>446</v>
      </c>
      <c r="B647" s="4" t="s">
        <v>67</v>
      </c>
      <c r="C647" s="4" t="s">
        <v>109</v>
      </c>
      <c r="D647" s="4" t="s">
        <v>87</v>
      </c>
      <c r="E647" s="4">
        <v>28</v>
      </c>
      <c r="F647" s="4">
        <v>1.2</v>
      </c>
      <c r="G647" s="6">
        <f t="shared" si="20"/>
        <v>3</v>
      </c>
      <c r="H647" s="3" t="str">
        <f t="shared" si="21"/>
        <v>★★★</v>
      </c>
    </row>
    <row r="648" spans="1:8" x14ac:dyDescent="0.25">
      <c r="A648" s="4" t="s">
        <v>572</v>
      </c>
      <c r="B648" s="4" t="s">
        <v>298</v>
      </c>
      <c r="C648" s="4" t="s">
        <v>476</v>
      </c>
      <c r="D648" s="4" t="s">
        <v>18</v>
      </c>
      <c r="E648" s="4">
        <v>23</v>
      </c>
      <c r="F648" s="4">
        <v>1.37</v>
      </c>
      <c r="G648" s="6">
        <f t="shared" si="20"/>
        <v>4</v>
      </c>
      <c r="H648" s="3" t="str">
        <f t="shared" si="21"/>
        <v>★★★★</v>
      </c>
    </row>
    <row r="649" spans="1:8" x14ac:dyDescent="0.25">
      <c r="A649" s="4" t="s">
        <v>660</v>
      </c>
      <c r="B649" s="4" t="s">
        <v>185</v>
      </c>
      <c r="C649" s="4" t="s">
        <v>584</v>
      </c>
      <c r="D649" s="4" t="s">
        <v>53</v>
      </c>
      <c r="E649" s="4">
        <v>29</v>
      </c>
      <c r="F649" s="4">
        <v>1.1399999999999999</v>
      </c>
      <c r="G649" s="6">
        <f t="shared" si="20"/>
        <v>3</v>
      </c>
      <c r="H649" s="3" t="str">
        <f t="shared" si="21"/>
        <v>★★★</v>
      </c>
    </row>
    <row r="650" spans="1:8" x14ac:dyDescent="0.25">
      <c r="A650" s="4" t="s">
        <v>573</v>
      </c>
      <c r="B650" s="4" t="s">
        <v>29</v>
      </c>
      <c r="C650" s="4" t="s">
        <v>471</v>
      </c>
      <c r="D650" s="4" t="s">
        <v>33</v>
      </c>
      <c r="E650" s="4">
        <v>32</v>
      </c>
      <c r="F650" s="4">
        <v>1.33</v>
      </c>
      <c r="G650" s="6">
        <f t="shared" si="20"/>
        <v>4</v>
      </c>
      <c r="H650" s="3" t="str">
        <f t="shared" si="21"/>
        <v>★★★★</v>
      </c>
    </row>
    <row r="651" spans="1:8" x14ac:dyDescent="0.25">
      <c r="A651" s="4" t="s">
        <v>447</v>
      </c>
      <c r="B651" s="4" t="s">
        <v>29</v>
      </c>
      <c r="C651" s="4" t="s">
        <v>109</v>
      </c>
      <c r="D651" s="4" t="s">
        <v>39</v>
      </c>
      <c r="E651" s="4">
        <v>31</v>
      </c>
      <c r="F651" s="4">
        <v>2.2000000000000002</v>
      </c>
      <c r="G651" s="6">
        <f t="shared" si="20"/>
        <v>5</v>
      </c>
      <c r="H651" s="3" t="str">
        <f t="shared" si="21"/>
        <v>★★★★★</v>
      </c>
    </row>
    <row r="652" spans="1:8" x14ac:dyDescent="0.25">
      <c r="A652" s="4" t="s">
        <v>448</v>
      </c>
      <c r="B652" s="4" t="s">
        <v>29</v>
      </c>
      <c r="C652" s="4" t="s">
        <v>109</v>
      </c>
      <c r="D652" s="4" t="s">
        <v>33</v>
      </c>
      <c r="E652" s="4">
        <v>24</v>
      </c>
      <c r="F652" s="4">
        <v>1</v>
      </c>
      <c r="G652" s="6">
        <f t="shared" si="20"/>
        <v>3</v>
      </c>
      <c r="H652" s="3" t="str">
        <f t="shared" si="21"/>
        <v>★★★</v>
      </c>
    </row>
    <row r="653" spans="1:8" x14ac:dyDescent="0.25">
      <c r="A653" s="4" t="s">
        <v>815</v>
      </c>
      <c r="B653" s="4" t="s">
        <v>29</v>
      </c>
      <c r="C653" s="4" t="s">
        <v>676</v>
      </c>
      <c r="D653" s="4" t="s">
        <v>53</v>
      </c>
      <c r="E653" s="4">
        <v>17</v>
      </c>
      <c r="F653" s="4">
        <v>0</v>
      </c>
      <c r="G653" s="6">
        <f t="shared" si="20"/>
        <v>1</v>
      </c>
      <c r="H653" s="3" t="str">
        <f t="shared" si="21"/>
        <v>★</v>
      </c>
    </row>
    <row r="654" spans="1:8" x14ac:dyDescent="0.25">
      <c r="A654" s="4" t="s">
        <v>449</v>
      </c>
      <c r="B654" s="4" t="s">
        <v>29</v>
      </c>
      <c r="C654" s="4" t="s">
        <v>109</v>
      </c>
      <c r="D654" s="4" t="s">
        <v>47</v>
      </c>
      <c r="E654" s="4">
        <v>23</v>
      </c>
      <c r="F654" s="4">
        <v>1.25</v>
      </c>
      <c r="G654" s="6">
        <f t="shared" si="20"/>
        <v>3</v>
      </c>
      <c r="H654" s="3" t="str">
        <f t="shared" si="21"/>
        <v>★★★</v>
      </c>
    </row>
    <row r="655" spans="1:8" x14ac:dyDescent="0.25">
      <c r="A655" s="4" t="s">
        <v>92</v>
      </c>
      <c r="B655" s="4" t="s">
        <v>52</v>
      </c>
      <c r="C655" s="4" t="s">
        <v>676</v>
      </c>
      <c r="D655" s="4" t="s">
        <v>87</v>
      </c>
      <c r="E655" s="4">
        <v>28</v>
      </c>
      <c r="F655" s="4">
        <v>3</v>
      </c>
      <c r="G655" s="6">
        <f t="shared" si="20"/>
        <v>5</v>
      </c>
      <c r="H655" s="3" t="str">
        <f t="shared" si="21"/>
        <v>★★★★★</v>
      </c>
    </row>
    <row r="656" spans="1:8" x14ac:dyDescent="0.25">
      <c r="A656" s="4" t="s">
        <v>450</v>
      </c>
      <c r="B656" s="4" t="s">
        <v>29</v>
      </c>
      <c r="C656" s="4" t="s">
        <v>109</v>
      </c>
      <c r="D656" s="4" t="s">
        <v>30</v>
      </c>
      <c r="E656" s="4">
        <v>31</v>
      </c>
      <c r="F656" s="4">
        <v>1.29</v>
      </c>
      <c r="G656" s="6">
        <f t="shared" si="20"/>
        <v>4</v>
      </c>
      <c r="H656" s="3" t="str">
        <f t="shared" si="21"/>
        <v>★★★★</v>
      </c>
    </row>
    <row r="657" spans="1:8" x14ac:dyDescent="0.25">
      <c r="A657" s="4" t="s">
        <v>451</v>
      </c>
      <c r="B657" s="4" t="s">
        <v>29</v>
      </c>
      <c r="C657" s="4" t="s">
        <v>116</v>
      </c>
      <c r="D657" s="4" t="s">
        <v>33</v>
      </c>
      <c r="E657" s="4">
        <v>26</v>
      </c>
      <c r="F657" s="4">
        <v>1</v>
      </c>
      <c r="G657" s="6">
        <f t="shared" si="20"/>
        <v>3</v>
      </c>
      <c r="H657" s="3" t="str">
        <f t="shared" si="21"/>
        <v>★★★</v>
      </c>
    </row>
    <row r="658" spans="1:8" x14ac:dyDescent="0.25">
      <c r="A658" s="4" t="s">
        <v>661</v>
      </c>
      <c r="B658" s="4" t="s">
        <v>29</v>
      </c>
      <c r="C658" s="4" t="s">
        <v>584</v>
      </c>
      <c r="D658" s="4" t="s">
        <v>69</v>
      </c>
      <c r="E658" s="4">
        <v>25</v>
      </c>
      <c r="F658" s="4">
        <v>1.2</v>
      </c>
      <c r="G658" s="6">
        <f t="shared" si="20"/>
        <v>3</v>
      </c>
      <c r="H658" s="3" t="str">
        <f t="shared" si="21"/>
        <v>★★★</v>
      </c>
    </row>
    <row r="659" spans="1:8" x14ac:dyDescent="0.25">
      <c r="A659" s="4" t="s">
        <v>452</v>
      </c>
      <c r="B659" s="4" t="s">
        <v>29</v>
      </c>
      <c r="C659" s="4" t="s">
        <v>109</v>
      </c>
      <c r="D659" s="4" t="s">
        <v>85</v>
      </c>
      <c r="E659" s="4">
        <v>26</v>
      </c>
      <c r="F659" s="4">
        <v>1.73</v>
      </c>
      <c r="G659" s="6">
        <f t="shared" si="20"/>
        <v>4</v>
      </c>
      <c r="H659" s="3" t="str">
        <f t="shared" si="21"/>
        <v>★★★★</v>
      </c>
    </row>
    <row r="660" spans="1:8" x14ac:dyDescent="0.25">
      <c r="A660" s="4" t="s">
        <v>662</v>
      </c>
      <c r="B660" s="4" t="s">
        <v>60</v>
      </c>
      <c r="C660" s="4" t="s">
        <v>584</v>
      </c>
      <c r="D660" s="4" t="s">
        <v>53</v>
      </c>
      <c r="E660" s="4">
        <v>28</v>
      </c>
      <c r="F660" s="4">
        <v>1.1499999999999999</v>
      </c>
      <c r="G660" s="6">
        <f t="shared" si="20"/>
        <v>3</v>
      </c>
      <c r="H660" s="3" t="str">
        <f t="shared" si="21"/>
        <v>★★★</v>
      </c>
    </row>
    <row r="661" spans="1:8" x14ac:dyDescent="0.25">
      <c r="A661" s="4" t="s">
        <v>663</v>
      </c>
      <c r="B661" s="4" t="s">
        <v>29</v>
      </c>
      <c r="C661" s="4" t="s">
        <v>584</v>
      </c>
      <c r="D661" s="4" t="s">
        <v>85</v>
      </c>
      <c r="E661" s="4">
        <v>30</v>
      </c>
      <c r="F661" s="4">
        <v>1.4</v>
      </c>
      <c r="G661" s="6">
        <f t="shared" si="20"/>
        <v>4</v>
      </c>
      <c r="H661" s="3" t="str">
        <f t="shared" si="21"/>
        <v>★★★★</v>
      </c>
    </row>
    <row r="662" spans="1:8" x14ac:dyDescent="0.25">
      <c r="A662" s="4" t="s">
        <v>816</v>
      </c>
      <c r="B662" s="4" t="s">
        <v>29</v>
      </c>
      <c r="C662" s="4" t="s">
        <v>109</v>
      </c>
      <c r="D662" s="4" t="s">
        <v>27</v>
      </c>
      <c r="E662" s="4">
        <v>17</v>
      </c>
      <c r="F662" s="4">
        <v>0</v>
      </c>
      <c r="G662" s="6">
        <f t="shared" si="20"/>
        <v>1</v>
      </c>
      <c r="H662" s="3" t="str">
        <f t="shared" si="21"/>
        <v>★</v>
      </c>
    </row>
    <row r="663" spans="1:8" x14ac:dyDescent="0.25">
      <c r="A663" s="4" t="s">
        <v>574</v>
      </c>
      <c r="B663" s="4" t="s">
        <v>62</v>
      </c>
      <c r="C663" s="4" t="s">
        <v>476</v>
      </c>
      <c r="D663" s="4" t="s">
        <v>21</v>
      </c>
      <c r="E663" s="4">
        <v>25</v>
      </c>
      <c r="F663" s="4">
        <v>1.9</v>
      </c>
      <c r="G663" s="6">
        <f t="shared" si="20"/>
        <v>5</v>
      </c>
      <c r="H663" s="3" t="str">
        <f t="shared" si="21"/>
        <v>★★★★★</v>
      </c>
    </row>
    <row r="664" spans="1:8" x14ac:dyDescent="0.25">
      <c r="A664" s="4" t="s">
        <v>453</v>
      </c>
      <c r="B664" s="4" t="s">
        <v>29</v>
      </c>
      <c r="C664" s="4" t="s">
        <v>116</v>
      </c>
      <c r="D664" s="4" t="s">
        <v>53</v>
      </c>
      <c r="E664" s="4">
        <v>31</v>
      </c>
      <c r="F664" s="4">
        <v>0.67</v>
      </c>
      <c r="G664" s="6">
        <f t="shared" si="20"/>
        <v>2</v>
      </c>
      <c r="H664" s="3" t="str">
        <f t="shared" si="21"/>
        <v>★★</v>
      </c>
    </row>
    <row r="665" spans="1:8" x14ac:dyDescent="0.25">
      <c r="A665" s="4" t="s">
        <v>817</v>
      </c>
      <c r="B665" s="4" t="s">
        <v>29</v>
      </c>
      <c r="C665" s="4" t="s">
        <v>116</v>
      </c>
      <c r="D665" s="4" t="s">
        <v>27</v>
      </c>
      <c r="E665" s="4">
        <v>17</v>
      </c>
      <c r="F665" s="4">
        <v>0</v>
      </c>
      <c r="G665" s="6">
        <f t="shared" si="20"/>
        <v>1</v>
      </c>
      <c r="H665" s="3" t="str">
        <f t="shared" si="21"/>
        <v>★</v>
      </c>
    </row>
    <row r="666" spans="1:8" x14ac:dyDescent="0.25">
      <c r="A666" s="4" t="s">
        <v>454</v>
      </c>
      <c r="B666" s="4" t="s">
        <v>29</v>
      </c>
      <c r="C666" s="4" t="s">
        <v>109</v>
      </c>
      <c r="D666" s="4" t="s">
        <v>63</v>
      </c>
      <c r="E666" s="4">
        <v>23</v>
      </c>
      <c r="F666" s="4">
        <v>1.88</v>
      </c>
      <c r="G666" s="6">
        <f t="shared" si="20"/>
        <v>5</v>
      </c>
      <c r="H666" s="3" t="str">
        <f t="shared" si="21"/>
        <v>★★★★★</v>
      </c>
    </row>
    <row r="667" spans="1:8" x14ac:dyDescent="0.25">
      <c r="A667" s="4" t="s">
        <v>818</v>
      </c>
      <c r="B667" s="4" t="s">
        <v>29</v>
      </c>
      <c r="C667" s="4" t="s">
        <v>116</v>
      </c>
      <c r="D667" s="4" t="s">
        <v>65</v>
      </c>
      <c r="E667" s="4">
        <v>19</v>
      </c>
      <c r="F667" s="4">
        <v>0</v>
      </c>
      <c r="G667" s="6">
        <f t="shared" si="20"/>
        <v>1</v>
      </c>
      <c r="H667" s="3" t="str">
        <f t="shared" si="21"/>
        <v>★</v>
      </c>
    </row>
    <row r="668" spans="1:8" x14ac:dyDescent="0.25">
      <c r="A668" s="4" t="s">
        <v>819</v>
      </c>
      <c r="B668" s="4" t="s">
        <v>29</v>
      </c>
      <c r="C668" s="4" t="s">
        <v>116</v>
      </c>
      <c r="D668" s="4" t="s">
        <v>35</v>
      </c>
      <c r="E668" s="4">
        <v>18</v>
      </c>
      <c r="F668" s="4">
        <v>0</v>
      </c>
      <c r="G668" s="6">
        <f t="shared" si="20"/>
        <v>1</v>
      </c>
      <c r="H668" s="3" t="str">
        <f t="shared" si="21"/>
        <v>★</v>
      </c>
    </row>
    <row r="669" spans="1:8" x14ac:dyDescent="0.25">
      <c r="A669" s="4" t="s">
        <v>455</v>
      </c>
      <c r="B669" s="4" t="s">
        <v>29</v>
      </c>
      <c r="C669" s="4" t="s">
        <v>109</v>
      </c>
      <c r="D669" s="4" t="s">
        <v>47</v>
      </c>
      <c r="E669" s="4">
        <v>20</v>
      </c>
      <c r="F669" s="4">
        <v>0</v>
      </c>
      <c r="G669" s="6">
        <f t="shared" si="20"/>
        <v>1</v>
      </c>
      <c r="H669" s="3" t="str">
        <f t="shared" si="21"/>
        <v>★</v>
      </c>
    </row>
    <row r="670" spans="1:8" x14ac:dyDescent="0.25">
      <c r="A670" s="4" t="s">
        <v>455</v>
      </c>
      <c r="B670" s="4" t="s">
        <v>29</v>
      </c>
      <c r="C670" s="4" t="s">
        <v>109</v>
      </c>
      <c r="D670" s="4" t="s">
        <v>50</v>
      </c>
      <c r="E670" s="4">
        <v>20</v>
      </c>
      <c r="F670" s="4">
        <v>0.69</v>
      </c>
      <c r="G670" s="6">
        <f t="shared" si="20"/>
        <v>2</v>
      </c>
      <c r="H670" s="3" t="str">
        <f t="shared" si="21"/>
        <v>★★</v>
      </c>
    </row>
    <row r="671" spans="1:8" x14ac:dyDescent="0.25">
      <c r="A671" s="4" t="s">
        <v>456</v>
      </c>
      <c r="B671" s="4" t="s">
        <v>52</v>
      </c>
      <c r="C671" s="4" t="s">
        <v>109</v>
      </c>
      <c r="D671" s="4" t="s">
        <v>15</v>
      </c>
      <c r="E671" s="4">
        <v>20</v>
      </c>
      <c r="F671" s="4">
        <v>3</v>
      </c>
      <c r="G671" s="6">
        <f t="shared" si="20"/>
        <v>5</v>
      </c>
      <c r="H671" s="3" t="str">
        <f t="shared" si="21"/>
        <v>★★★★★</v>
      </c>
    </row>
    <row r="672" spans="1:8" x14ac:dyDescent="0.25">
      <c r="A672" s="4" t="s">
        <v>820</v>
      </c>
      <c r="B672" s="4" t="s">
        <v>29</v>
      </c>
      <c r="C672" s="4" t="s">
        <v>109</v>
      </c>
      <c r="D672" s="4" t="s">
        <v>15</v>
      </c>
      <c r="E672" s="4">
        <v>20</v>
      </c>
      <c r="F672" s="4">
        <v>0</v>
      </c>
      <c r="G672" s="6">
        <f t="shared" si="20"/>
        <v>1</v>
      </c>
      <c r="H672" s="3" t="str">
        <f t="shared" si="21"/>
        <v>★</v>
      </c>
    </row>
    <row r="673" spans="1:8" x14ac:dyDescent="0.25">
      <c r="A673" s="4" t="s">
        <v>457</v>
      </c>
      <c r="B673" s="4" t="s">
        <v>29</v>
      </c>
      <c r="C673" s="4" t="s">
        <v>116</v>
      </c>
      <c r="D673" s="4" t="s">
        <v>35</v>
      </c>
      <c r="E673" s="4">
        <v>21</v>
      </c>
      <c r="F673" s="4">
        <v>1.28</v>
      </c>
      <c r="G673" s="6">
        <f t="shared" si="20"/>
        <v>4</v>
      </c>
      <c r="H673" s="3" t="str">
        <f t="shared" si="21"/>
        <v>★★★★</v>
      </c>
    </row>
    <row r="674" spans="1:8" x14ac:dyDescent="0.25">
      <c r="A674" s="4" t="s">
        <v>664</v>
      </c>
      <c r="B674" s="4" t="s">
        <v>29</v>
      </c>
      <c r="C674" s="4" t="s">
        <v>584</v>
      </c>
      <c r="D674" s="4" t="s">
        <v>35</v>
      </c>
      <c r="E674" s="4">
        <v>29</v>
      </c>
      <c r="F674" s="4">
        <v>0.83</v>
      </c>
      <c r="G674" s="6">
        <f t="shared" si="20"/>
        <v>2</v>
      </c>
      <c r="H674" s="3" t="str">
        <f t="shared" si="21"/>
        <v>★★</v>
      </c>
    </row>
    <row r="675" spans="1:8" x14ac:dyDescent="0.25">
      <c r="A675" s="4" t="s">
        <v>821</v>
      </c>
      <c r="B675" s="4" t="s">
        <v>29</v>
      </c>
      <c r="C675" s="4" t="s">
        <v>109</v>
      </c>
      <c r="D675" s="4" t="s">
        <v>39</v>
      </c>
      <c r="E675" s="4">
        <v>18</v>
      </c>
      <c r="F675" s="4">
        <v>0</v>
      </c>
      <c r="G675" s="6">
        <f t="shared" si="20"/>
        <v>1</v>
      </c>
      <c r="H675" s="3" t="str">
        <f t="shared" si="21"/>
        <v>★</v>
      </c>
    </row>
    <row r="676" spans="1:8" x14ac:dyDescent="0.25">
      <c r="A676" s="4" t="s">
        <v>458</v>
      </c>
      <c r="B676" s="4" t="s">
        <v>29</v>
      </c>
      <c r="C676" s="4" t="s">
        <v>116</v>
      </c>
      <c r="D676" s="4" t="s">
        <v>65</v>
      </c>
      <c r="E676" s="4">
        <v>25</v>
      </c>
      <c r="F676" s="4">
        <v>1.58</v>
      </c>
      <c r="G676" s="6">
        <f t="shared" si="20"/>
        <v>4</v>
      </c>
      <c r="H676" s="3" t="str">
        <f t="shared" si="21"/>
        <v>★★★★</v>
      </c>
    </row>
    <row r="677" spans="1:8" x14ac:dyDescent="0.25">
      <c r="A677" s="4" t="s">
        <v>575</v>
      </c>
      <c r="B677" s="4" t="s">
        <v>284</v>
      </c>
      <c r="C677" s="4" t="s">
        <v>476</v>
      </c>
      <c r="D677" s="4" t="s">
        <v>43</v>
      </c>
      <c r="E677" s="4">
        <v>24</v>
      </c>
      <c r="F677" s="4">
        <v>1.3</v>
      </c>
      <c r="G677" s="6">
        <f t="shared" si="20"/>
        <v>4</v>
      </c>
      <c r="H677" s="3" t="str">
        <f t="shared" si="21"/>
        <v>★★★★</v>
      </c>
    </row>
    <row r="678" spans="1:8" x14ac:dyDescent="0.25">
      <c r="A678" s="4" t="s">
        <v>665</v>
      </c>
      <c r="B678" s="4" t="s">
        <v>666</v>
      </c>
      <c r="C678" s="4" t="s">
        <v>584</v>
      </c>
      <c r="D678" s="4" t="s">
        <v>35</v>
      </c>
      <c r="E678" s="4">
        <v>29</v>
      </c>
      <c r="F678" s="4">
        <v>1.88</v>
      </c>
      <c r="G678" s="6">
        <f t="shared" si="20"/>
        <v>5</v>
      </c>
      <c r="H678" s="3" t="str">
        <f t="shared" si="21"/>
        <v>★★★★★</v>
      </c>
    </row>
    <row r="679" spans="1:8" x14ac:dyDescent="0.25">
      <c r="A679" s="4" t="s">
        <v>665</v>
      </c>
      <c r="B679" s="4" t="s">
        <v>666</v>
      </c>
      <c r="C679" s="4" t="s">
        <v>584</v>
      </c>
      <c r="D679" s="4" t="s">
        <v>53</v>
      </c>
      <c r="E679" s="4">
        <v>29</v>
      </c>
      <c r="F679" s="4">
        <v>0.65</v>
      </c>
      <c r="G679" s="6">
        <f t="shared" si="20"/>
        <v>2</v>
      </c>
      <c r="H679" s="3" t="str">
        <f t="shared" si="21"/>
        <v>★★</v>
      </c>
    </row>
    <row r="680" spans="1:8" x14ac:dyDescent="0.25">
      <c r="A680" s="4" t="s">
        <v>822</v>
      </c>
      <c r="B680" s="4" t="s">
        <v>52</v>
      </c>
      <c r="C680" s="4" t="s">
        <v>476</v>
      </c>
      <c r="D680" s="4" t="s">
        <v>15</v>
      </c>
      <c r="E680" s="4">
        <v>21</v>
      </c>
      <c r="F680" s="4">
        <v>0</v>
      </c>
      <c r="G680" s="6">
        <f t="shared" si="20"/>
        <v>1</v>
      </c>
      <c r="H680" s="3" t="str">
        <f t="shared" si="21"/>
        <v>★</v>
      </c>
    </row>
    <row r="681" spans="1:8" x14ac:dyDescent="0.25">
      <c r="A681" s="4" t="s">
        <v>93</v>
      </c>
      <c r="B681" s="4" t="s">
        <v>29</v>
      </c>
      <c r="C681" s="4" t="s">
        <v>676</v>
      </c>
      <c r="D681" s="4" t="s">
        <v>35</v>
      </c>
      <c r="E681" s="4">
        <v>24</v>
      </c>
      <c r="F681" s="4">
        <v>0.25</v>
      </c>
      <c r="G681" s="6">
        <f t="shared" si="20"/>
        <v>2</v>
      </c>
      <c r="H681" s="3" t="str">
        <f t="shared" si="21"/>
        <v>★★</v>
      </c>
    </row>
    <row r="682" spans="1:8" x14ac:dyDescent="0.25">
      <c r="A682" s="4" t="s">
        <v>459</v>
      </c>
      <c r="B682" s="4" t="s">
        <v>402</v>
      </c>
      <c r="C682" s="4" t="s">
        <v>228</v>
      </c>
      <c r="D682" s="4" t="s">
        <v>63</v>
      </c>
      <c r="E682" s="4">
        <v>28</v>
      </c>
      <c r="F682" s="4">
        <v>1.78</v>
      </c>
      <c r="G682" s="6">
        <f t="shared" si="20"/>
        <v>5</v>
      </c>
      <c r="H682" s="3" t="str">
        <f t="shared" si="21"/>
        <v>★★★★★</v>
      </c>
    </row>
    <row r="683" spans="1:8" x14ac:dyDescent="0.25">
      <c r="A683" s="4" t="s">
        <v>667</v>
      </c>
      <c r="B683" s="4" t="s">
        <v>353</v>
      </c>
      <c r="C683" s="4" t="s">
        <v>584</v>
      </c>
      <c r="D683" s="4" t="s">
        <v>18</v>
      </c>
      <c r="E683" s="4">
        <v>31</v>
      </c>
      <c r="F683" s="4">
        <v>1.42</v>
      </c>
      <c r="G683" s="6">
        <f t="shared" si="20"/>
        <v>4</v>
      </c>
      <c r="H683" s="3" t="str">
        <f t="shared" si="21"/>
        <v>★★★★</v>
      </c>
    </row>
    <row r="684" spans="1:8" x14ac:dyDescent="0.25">
      <c r="A684" s="4" t="s">
        <v>460</v>
      </c>
      <c r="B684" s="4" t="s">
        <v>29</v>
      </c>
      <c r="C684" s="4" t="s">
        <v>304</v>
      </c>
      <c r="D684" s="4" t="s">
        <v>69</v>
      </c>
      <c r="E684" s="4">
        <v>36</v>
      </c>
      <c r="F684" s="4">
        <v>1.38</v>
      </c>
      <c r="G684" s="6">
        <f t="shared" si="20"/>
        <v>4</v>
      </c>
      <c r="H684" s="3" t="str">
        <f t="shared" si="21"/>
        <v>★★★★</v>
      </c>
    </row>
    <row r="685" spans="1:8" x14ac:dyDescent="0.25">
      <c r="A685" s="4" t="s">
        <v>668</v>
      </c>
      <c r="B685" s="4" t="s">
        <v>29</v>
      </c>
      <c r="C685" s="4" t="s">
        <v>584</v>
      </c>
      <c r="D685" s="4" t="s">
        <v>43</v>
      </c>
      <c r="E685" s="4">
        <v>18</v>
      </c>
      <c r="F685" s="4">
        <v>3</v>
      </c>
      <c r="G685" s="6">
        <f t="shared" si="20"/>
        <v>5</v>
      </c>
      <c r="H685" s="3" t="str">
        <f t="shared" si="21"/>
        <v>★★★★★</v>
      </c>
    </row>
    <row r="686" spans="1:8" x14ac:dyDescent="0.25">
      <c r="A686" s="4" t="s">
        <v>669</v>
      </c>
      <c r="B686" s="4" t="s">
        <v>133</v>
      </c>
      <c r="C686" s="4" t="s">
        <v>584</v>
      </c>
      <c r="D686" s="4" t="s">
        <v>30</v>
      </c>
      <c r="E686" s="4">
        <v>28</v>
      </c>
      <c r="F686" s="4">
        <v>1.3</v>
      </c>
      <c r="G686" s="6">
        <f t="shared" si="20"/>
        <v>4</v>
      </c>
      <c r="H686" s="3" t="str">
        <f t="shared" si="21"/>
        <v>★★★★</v>
      </c>
    </row>
    <row r="687" spans="1:8" x14ac:dyDescent="0.25">
      <c r="A687" s="4" t="s">
        <v>823</v>
      </c>
      <c r="B687" s="4" t="s">
        <v>402</v>
      </c>
      <c r="C687" s="4" t="s">
        <v>584</v>
      </c>
      <c r="D687" s="4" t="s">
        <v>85</v>
      </c>
      <c r="E687" s="4">
        <v>22</v>
      </c>
      <c r="F687" s="4">
        <v>0</v>
      </c>
      <c r="G687" s="6">
        <f t="shared" si="20"/>
        <v>1</v>
      </c>
      <c r="H687" s="3" t="str">
        <f t="shared" si="21"/>
        <v>★</v>
      </c>
    </row>
    <row r="688" spans="1:8" x14ac:dyDescent="0.25">
      <c r="A688" s="4" t="s">
        <v>461</v>
      </c>
      <c r="B688" s="4" t="s">
        <v>62</v>
      </c>
      <c r="C688" s="4" t="s">
        <v>109</v>
      </c>
      <c r="D688" s="4" t="s">
        <v>50</v>
      </c>
      <c r="E688" s="4">
        <v>28</v>
      </c>
      <c r="F688" s="4">
        <v>0</v>
      </c>
      <c r="G688" s="6">
        <f t="shared" si="20"/>
        <v>1</v>
      </c>
      <c r="H688" s="3" t="str">
        <f t="shared" si="21"/>
        <v>★</v>
      </c>
    </row>
    <row r="689" spans="1:8" x14ac:dyDescent="0.25">
      <c r="A689" s="4" t="s">
        <v>462</v>
      </c>
      <c r="B689" s="4" t="s">
        <v>353</v>
      </c>
      <c r="C689" s="4" t="s">
        <v>109</v>
      </c>
      <c r="D689" s="4" t="s">
        <v>39</v>
      </c>
      <c r="E689" s="4">
        <v>24</v>
      </c>
      <c r="F689" s="4">
        <v>2.67</v>
      </c>
      <c r="G689" s="6">
        <f t="shared" si="20"/>
        <v>5</v>
      </c>
      <c r="H689" s="3" t="str">
        <f t="shared" si="21"/>
        <v>★★★★★</v>
      </c>
    </row>
    <row r="690" spans="1:8" x14ac:dyDescent="0.25">
      <c r="A690" s="4" t="s">
        <v>576</v>
      </c>
      <c r="B690" s="4" t="s">
        <v>317</v>
      </c>
      <c r="C690" s="4" t="s">
        <v>476</v>
      </c>
      <c r="D690" s="4" t="s">
        <v>21</v>
      </c>
      <c r="E690" s="4">
        <v>28</v>
      </c>
      <c r="F690" s="4">
        <v>1.91</v>
      </c>
      <c r="G690" s="6">
        <f t="shared" si="20"/>
        <v>5</v>
      </c>
      <c r="H690" s="3" t="str">
        <f t="shared" si="21"/>
        <v>★★★★★</v>
      </c>
    </row>
    <row r="691" spans="1:8" x14ac:dyDescent="0.25">
      <c r="A691" s="4" t="s">
        <v>463</v>
      </c>
      <c r="B691" s="4" t="s">
        <v>17</v>
      </c>
      <c r="C691" s="4" t="s">
        <v>109</v>
      </c>
      <c r="D691" s="4" t="s">
        <v>21</v>
      </c>
      <c r="E691" s="4">
        <v>26</v>
      </c>
      <c r="F691" s="4">
        <v>0</v>
      </c>
      <c r="G691" s="6">
        <f t="shared" si="20"/>
        <v>1</v>
      </c>
      <c r="H691" s="3" t="str">
        <f t="shared" si="21"/>
        <v>★</v>
      </c>
    </row>
    <row r="692" spans="1:8" x14ac:dyDescent="0.25">
      <c r="A692" s="4" t="s">
        <v>463</v>
      </c>
      <c r="B692" s="4" t="s">
        <v>17</v>
      </c>
      <c r="C692" s="4" t="s">
        <v>109</v>
      </c>
      <c r="D692" s="4" t="s">
        <v>18</v>
      </c>
      <c r="E692" s="4">
        <v>26</v>
      </c>
      <c r="F692" s="4">
        <v>1.5</v>
      </c>
      <c r="G692" s="6">
        <f t="shared" si="20"/>
        <v>4</v>
      </c>
      <c r="H692" s="3" t="str">
        <f t="shared" si="21"/>
        <v>★★★★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7820A1-26A0-934A-B3C9-7463FECD41C6}">
  <sheetPr codeName="Sheet14">
    <outlinePr summaryBelow="0" summaryRight="0"/>
  </sheetPr>
  <dimension ref="A1:R555"/>
  <sheetViews>
    <sheetView workbookViewId="0">
      <selection activeCell="E18" sqref="E18"/>
    </sheetView>
  </sheetViews>
  <sheetFormatPr baseColWidth="10" defaultColWidth="12.6640625" defaultRowHeight="19" x14ac:dyDescent="0.25"/>
  <cols>
    <col min="1" max="1" width="32.1640625" style="4" bestFit="1" customWidth="1"/>
    <col min="2" max="2" width="8.6640625" style="4" bestFit="1" customWidth="1"/>
    <col min="3" max="3" width="5.6640625" style="4" bestFit="1" customWidth="1"/>
    <col min="4" max="4" width="14.5" style="4" bestFit="1" customWidth="1"/>
    <col min="5" max="5" width="15" style="4" bestFit="1" customWidth="1"/>
    <col min="6" max="6" width="12.6640625" style="4"/>
    <col min="7" max="7" width="16.6640625" style="4" bestFit="1" customWidth="1"/>
    <col min="8" max="8" width="18" style="4" bestFit="1" customWidth="1"/>
    <col min="9" max="9" width="14.33203125" style="4" bestFit="1" customWidth="1"/>
    <col min="10" max="16384" width="12.6640625" style="4"/>
  </cols>
  <sheetData>
    <row r="1" spans="1:18" ht="20" thickBot="1" x14ac:dyDescent="0.3">
      <c r="A1" s="1" t="s">
        <v>0</v>
      </c>
      <c r="B1" s="1" t="s">
        <v>1</v>
      </c>
      <c r="C1" s="1" t="s">
        <v>3</v>
      </c>
      <c r="D1" s="1" t="s">
        <v>824</v>
      </c>
      <c r="E1" s="3" t="s">
        <v>825</v>
      </c>
      <c r="F1" s="3"/>
      <c r="G1" s="3"/>
      <c r="H1" s="3"/>
      <c r="I1" s="3"/>
      <c r="J1" s="3"/>
      <c r="K1" s="3"/>
      <c r="L1" s="3"/>
      <c r="M1" s="3"/>
      <c r="N1" s="3"/>
      <c r="O1" s="3"/>
      <c r="P1" s="3"/>
      <c r="Q1" s="3"/>
      <c r="R1" s="3"/>
    </row>
    <row r="2" spans="1:18" ht="20" thickBot="1" x14ac:dyDescent="0.3">
      <c r="A2" s="4" t="s">
        <v>646</v>
      </c>
      <c r="B2" s="4" t="s">
        <v>83</v>
      </c>
      <c r="C2" s="4">
        <v>36</v>
      </c>
      <c r="D2" s="26">
        <v>32567928</v>
      </c>
      <c r="E2" s="6" t="str">
        <f>VLOOKUP(D2,$G$14:$I$18,3,1)</f>
        <v>High</v>
      </c>
      <c r="G2" s="9" t="s">
        <v>671</v>
      </c>
      <c r="H2" s="9" t="s">
        <v>826</v>
      </c>
    </row>
    <row r="3" spans="1:18" ht="20" thickBot="1" x14ac:dyDescent="0.3">
      <c r="A3" s="4" t="s">
        <v>195</v>
      </c>
      <c r="B3" s="4" t="s">
        <v>162</v>
      </c>
      <c r="C3" s="4">
        <v>30</v>
      </c>
      <c r="D3" s="26">
        <v>25276601</v>
      </c>
      <c r="E3" s="6" t="str">
        <f t="shared" ref="E3:E66" si="0">VLOOKUP(D3,$G$14:$I$18,3,1)</f>
        <v>High</v>
      </c>
      <c r="G3" s="25">
        <v>0.2</v>
      </c>
      <c r="H3" s="27">
        <f>PERCENTILE($D$2:$D$555,0.2)</f>
        <v>947873</v>
      </c>
    </row>
    <row r="4" spans="1:18" ht="20" thickBot="1" x14ac:dyDescent="0.3">
      <c r="A4" s="4" t="s">
        <v>46</v>
      </c>
      <c r="B4" s="4" t="s">
        <v>20</v>
      </c>
      <c r="C4" s="4">
        <v>30</v>
      </c>
      <c r="D4" s="26">
        <v>23696813</v>
      </c>
      <c r="E4" s="6" t="str">
        <f t="shared" si="0"/>
        <v>High</v>
      </c>
      <c r="G4" s="25">
        <v>0.4</v>
      </c>
      <c r="H4" s="27">
        <f>PERCENTILE($D$2:$D$555,0.4)</f>
        <v>1895745</v>
      </c>
      <c r="L4" s="28"/>
    </row>
    <row r="5" spans="1:18" ht="20" thickBot="1" x14ac:dyDescent="0.3">
      <c r="A5" s="4" t="s">
        <v>555</v>
      </c>
      <c r="B5" s="4" t="s">
        <v>29</v>
      </c>
      <c r="C5" s="4">
        <v>21</v>
      </c>
      <c r="D5" s="26">
        <v>22117026</v>
      </c>
      <c r="E5" s="6" t="str">
        <f t="shared" si="0"/>
        <v>High</v>
      </c>
      <c r="G5" s="25">
        <v>0.6</v>
      </c>
      <c r="H5" s="27">
        <f>PERCENTILE($D$2:$D$555,0.6)</f>
        <v>3159575</v>
      </c>
      <c r="L5" s="28"/>
    </row>
    <row r="6" spans="1:18" ht="20" thickBot="1" x14ac:dyDescent="0.3">
      <c r="A6" s="4" t="s">
        <v>444</v>
      </c>
      <c r="B6" s="4" t="s">
        <v>17</v>
      </c>
      <c r="C6" s="4">
        <v>28</v>
      </c>
      <c r="D6" s="26">
        <v>21485111</v>
      </c>
      <c r="E6" s="6" t="str">
        <f t="shared" si="0"/>
        <v>High</v>
      </c>
      <c r="G6" s="25">
        <v>0.8</v>
      </c>
      <c r="H6" s="27">
        <f>PERCENTILE($D$2:$D$555,0.8)</f>
        <v>5210868.6000000089</v>
      </c>
      <c r="L6" s="28"/>
    </row>
    <row r="7" spans="1:18" ht="20" thickBot="1" x14ac:dyDescent="0.3">
      <c r="A7" s="4" t="s">
        <v>627</v>
      </c>
      <c r="B7" s="4" t="s">
        <v>162</v>
      </c>
      <c r="C7" s="4">
        <v>28</v>
      </c>
      <c r="D7" s="26">
        <v>20537238</v>
      </c>
      <c r="E7" s="6" t="str">
        <f t="shared" si="0"/>
        <v>High</v>
      </c>
      <c r="G7" s="25">
        <v>0.9</v>
      </c>
      <c r="H7" s="27">
        <f>PERCENTILE($D$2:$D$555,0.9)</f>
        <v>7582980</v>
      </c>
      <c r="L7" s="28"/>
    </row>
    <row r="8" spans="1:18" ht="20" thickBot="1" x14ac:dyDescent="0.3">
      <c r="A8" s="4" t="s">
        <v>614</v>
      </c>
      <c r="B8" s="4" t="s">
        <v>29</v>
      </c>
      <c r="C8" s="4">
        <v>25</v>
      </c>
      <c r="D8" s="26">
        <v>18957451</v>
      </c>
      <c r="E8" s="6" t="str">
        <f t="shared" si="0"/>
        <v>High</v>
      </c>
      <c r="G8" s="25">
        <v>0.95</v>
      </c>
      <c r="H8" s="27">
        <f>PERCENTILE($D$2:$D$555,0.95)</f>
        <v>11421256.250000004</v>
      </c>
      <c r="L8" s="28"/>
    </row>
    <row r="9" spans="1:18" ht="20" thickBot="1" x14ac:dyDescent="0.3">
      <c r="A9" s="4" t="s">
        <v>653</v>
      </c>
      <c r="B9" s="4" t="s">
        <v>29</v>
      </c>
      <c r="C9" s="4">
        <v>26</v>
      </c>
      <c r="D9" s="26">
        <v>18957451</v>
      </c>
      <c r="E9" s="6" t="str">
        <f t="shared" si="0"/>
        <v>High</v>
      </c>
      <c r="G9" s="25">
        <v>1</v>
      </c>
      <c r="H9" s="27">
        <f>PERCENTILE($D$2:$D$555,1)</f>
        <v>32567928</v>
      </c>
      <c r="L9" s="28"/>
    </row>
    <row r="10" spans="1:18" x14ac:dyDescent="0.25">
      <c r="A10" s="4" t="s">
        <v>540</v>
      </c>
      <c r="B10" s="4" t="s">
        <v>17</v>
      </c>
      <c r="C10" s="4">
        <v>28</v>
      </c>
      <c r="D10" s="26">
        <v>18325536</v>
      </c>
      <c r="E10" s="6" t="str">
        <f t="shared" si="0"/>
        <v>High</v>
      </c>
      <c r="L10" s="28"/>
    </row>
    <row r="11" spans="1:18" x14ac:dyDescent="0.25">
      <c r="A11" s="4" t="s">
        <v>282</v>
      </c>
      <c r="B11" s="4" t="s">
        <v>17</v>
      </c>
      <c r="C11" s="4">
        <v>30</v>
      </c>
      <c r="D11" s="26">
        <v>18289079</v>
      </c>
      <c r="E11" s="6" t="str">
        <f t="shared" si="0"/>
        <v>High</v>
      </c>
      <c r="H11" s="28"/>
    </row>
    <row r="12" spans="1:18" ht="20" thickBot="1" x14ac:dyDescent="0.3">
      <c r="A12" s="4" t="s">
        <v>574</v>
      </c>
      <c r="B12" s="4" t="s">
        <v>62</v>
      </c>
      <c r="C12" s="4">
        <v>25</v>
      </c>
      <c r="D12" s="26">
        <v>17183228</v>
      </c>
      <c r="E12" s="6" t="str">
        <f t="shared" si="0"/>
        <v>High</v>
      </c>
      <c r="H12" s="28"/>
    </row>
    <row r="13" spans="1:18" ht="20" thickBot="1" x14ac:dyDescent="0.3">
      <c r="A13" s="4" t="s">
        <v>587</v>
      </c>
      <c r="B13" s="4" t="s">
        <v>588</v>
      </c>
      <c r="C13" s="4">
        <v>32</v>
      </c>
      <c r="D13" s="26">
        <v>15797876</v>
      </c>
      <c r="E13" s="6" t="str">
        <f t="shared" si="0"/>
        <v>High</v>
      </c>
      <c r="G13" s="9" t="s">
        <v>826</v>
      </c>
      <c r="H13" s="9" t="s">
        <v>677</v>
      </c>
      <c r="I13" s="9" t="s">
        <v>827</v>
      </c>
    </row>
    <row r="14" spans="1:18" ht="20" thickBot="1" x14ac:dyDescent="0.3">
      <c r="A14" s="4" t="s">
        <v>630</v>
      </c>
      <c r="B14" s="4" t="s">
        <v>17</v>
      </c>
      <c r="C14" s="4">
        <v>25</v>
      </c>
      <c r="D14" s="26">
        <v>15797876</v>
      </c>
      <c r="E14" s="6" t="str">
        <f t="shared" si="0"/>
        <v>High</v>
      </c>
      <c r="G14" s="27">
        <v>0</v>
      </c>
      <c r="H14" s="10" t="s">
        <v>828</v>
      </c>
      <c r="I14" s="10" t="s">
        <v>829</v>
      </c>
    </row>
    <row r="15" spans="1:18" ht="20" thickBot="1" x14ac:dyDescent="0.3">
      <c r="A15" s="4" t="s">
        <v>598</v>
      </c>
      <c r="B15" s="4" t="s">
        <v>142</v>
      </c>
      <c r="C15" s="4">
        <v>34</v>
      </c>
      <c r="D15" s="26">
        <v>15797876</v>
      </c>
      <c r="E15" s="6" t="str">
        <f t="shared" si="0"/>
        <v>High</v>
      </c>
      <c r="G15" s="27">
        <v>3159575</v>
      </c>
      <c r="H15" s="10" t="s">
        <v>830</v>
      </c>
      <c r="I15" s="10" t="s">
        <v>831</v>
      </c>
    </row>
    <row r="16" spans="1:18" ht="20" thickBot="1" x14ac:dyDescent="0.3">
      <c r="A16" s="4" t="s">
        <v>421</v>
      </c>
      <c r="B16" s="4" t="s">
        <v>29</v>
      </c>
      <c r="C16" s="4">
        <v>27</v>
      </c>
      <c r="D16" s="26">
        <v>15797876</v>
      </c>
      <c r="E16" s="6" t="str">
        <f t="shared" si="0"/>
        <v>High</v>
      </c>
      <c r="G16" s="27">
        <f>PERCENTILE($D$2:$D$555,0.9)</f>
        <v>7582980</v>
      </c>
      <c r="H16" s="10" t="s">
        <v>832</v>
      </c>
      <c r="I16" s="10" t="s">
        <v>833</v>
      </c>
    </row>
    <row r="17" spans="1:7" x14ac:dyDescent="0.25">
      <c r="A17" s="4" t="s">
        <v>225</v>
      </c>
      <c r="B17" s="4" t="s">
        <v>83</v>
      </c>
      <c r="C17" s="4">
        <v>26</v>
      </c>
      <c r="D17" s="26">
        <v>15165961</v>
      </c>
      <c r="E17" s="6" t="str">
        <f t="shared" si="0"/>
        <v>High</v>
      </c>
    </row>
    <row r="18" spans="1:7" x14ac:dyDescent="0.25">
      <c r="A18" s="4" t="s">
        <v>443</v>
      </c>
      <c r="B18" s="4" t="s">
        <v>60</v>
      </c>
      <c r="C18" s="4">
        <v>30</v>
      </c>
      <c r="D18" s="26">
        <v>13902131</v>
      </c>
      <c r="E18" s="6" t="str">
        <f t="shared" si="0"/>
        <v>High</v>
      </c>
      <c r="G18" s="28"/>
    </row>
    <row r="19" spans="1:7" x14ac:dyDescent="0.25">
      <c r="A19" s="4" t="s">
        <v>370</v>
      </c>
      <c r="B19" s="4" t="s">
        <v>124</v>
      </c>
      <c r="C19" s="4">
        <v>28</v>
      </c>
      <c r="D19" s="26">
        <v>12638300</v>
      </c>
      <c r="E19" s="6" t="str">
        <f t="shared" si="0"/>
        <v>High</v>
      </c>
    </row>
    <row r="20" spans="1:7" x14ac:dyDescent="0.25">
      <c r="A20" s="4" t="s">
        <v>544</v>
      </c>
      <c r="B20" s="4" t="s">
        <v>29</v>
      </c>
      <c r="C20" s="4">
        <v>23</v>
      </c>
      <c r="D20" s="26">
        <v>12638300</v>
      </c>
      <c r="E20" s="6" t="str">
        <f t="shared" si="0"/>
        <v>High</v>
      </c>
    </row>
    <row r="21" spans="1:7" x14ac:dyDescent="0.25">
      <c r="A21" s="4" t="s">
        <v>622</v>
      </c>
      <c r="B21" s="4" t="s">
        <v>29</v>
      </c>
      <c r="C21" s="4">
        <v>28</v>
      </c>
      <c r="D21" s="26">
        <v>12638300</v>
      </c>
      <c r="E21" s="6" t="str">
        <f t="shared" si="0"/>
        <v>High</v>
      </c>
    </row>
    <row r="22" spans="1:7" x14ac:dyDescent="0.25">
      <c r="A22" s="4" t="s">
        <v>357</v>
      </c>
      <c r="B22" s="4" t="s">
        <v>17</v>
      </c>
      <c r="C22" s="4">
        <v>24</v>
      </c>
      <c r="D22" s="26">
        <v>12638300</v>
      </c>
      <c r="E22" s="6" t="str">
        <f t="shared" si="0"/>
        <v>High</v>
      </c>
    </row>
    <row r="23" spans="1:7" x14ac:dyDescent="0.25">
      <c r="A23" s="4" t="s">
        <v>649</v>
      </c>
      <c r="B23" s="4" t="s">
        <v>215</v>
      </c>
      <c r="C23" s="4">
        <v>29</v>
      </c>
      <c r="D23" s="26">
        <v>12638300</v>
      </c>
      <c r="E23" s="6" t="str">
        <f t="shared" si="0"/>
        <v>High</v>
      </c>
    </row>
    <row r="24" spans="1:7" x14ac:dyDescent="0.25">
      <c r="A24" s="4" t="s">
        <v>115</v>
      </c>
      <c r="B24" s="4" t="s">
        <v>20</v>
      </c>
      <c r="C24" s="4">
        <v>30</v>
      </c>
      <c r="D24" s="26">
        <v>12638300</v>
      </c>
      <c r="E24" s="6" t="str">
        <f t="shared" si="0"/>
        <v>High</v>
      </c>
    </row>
    <row r="25" spans="1:7" x14ac:dyDescent="0.25">
      <c r="A25" s="4" t="s">
        <v>360</v>
      </c>
      <c r="B25" s="4" t="s">
        <v>20</v>
      </c>
      <c r="C25" s="4">
        <v>26</v>
      </c>
      <c r="D25" s="26">
        <v>12528931</v>
      </c>
      <c r="E25" s="6" t="str">
        <f t="shared" si="0"/>
        <v>High</v>
      </c>
    </row>
    <row r="26" spans="1:7" x14ac:dyDescent="0.25">
      <c r="A26" s="4" t="s">
        <v>509</v>
      </c>
      <c r="B26" s="4" t="s">
        <v>508</v>
      </c>
      <c r="C26" s="4">
        <v>29</v>
      </c>
      <c r="D26" s="26">
        <v>12132768</v>
      </c>
      <c r="E26" s="6" t="str">
        <f t="shared" si="0"/>
        <v>High</v>
      </c>
    </row>
    <row r="27" spans="1:7" x14ac:dyDescent="0.25">
      <c r="A27" s="4" t="s">
        <v>321</v>
      </c>
      <c r="B27" s="4" t="s">
        <v>29</v>
      </c>
      <c r="C27" s="4">
        <v>28</v>
      </c>
      <c r="D27" s="26">
        <v>12006385</v>
      </c>
      <c r="E27" s="6" t="str">
        <f t="shared" si="0"/>
        <v>High</v>
      </c>
    </row>
    <row r="28" spans="1:7" x14ac:dyDescent="0.25">
      <c r="A28" s="4" t="s">
        <v>169</v>
      </c>
      <c r="B28" s="4" t="s">
        <v>29</v>
      </c>
      <c r="C28" s="4">
        <v>24</v>
      </c>
      <c r="D28" s="26">
        <v>12006385</v>
      </c>
      <c r="E28" s="6" t="str">
        <f t="shared" si="0"/>
        <v>High</v>
      </c>
    </row>
    <row r="29" spans="1:7" x14ac:dyDescent="0.25">
      <c r="A29" s="4" t="s">
        <v>516</v>
      </c>
      <c r="B29" s="4" t="s">
        <v>17</v>
      </c>
      <c r="C29" s="4">
        <v>30</v>
      </c>
      <c r="D29" s="26">
        <v>11508145</v>
      </c>
      <c r="E29" s="6" t="str">
        <f t="shared" si="0"/>
        <v>High</v>
      </c>
    </row>
    <row r="30" spans="1:7" x14ac:dyDescent="0.25">
      <c r="A30" s="4" t="s">
        <v>221</v>
      </c>
      <c r="B30" s="4" t="s">
        <v>14</v>
      </c>
      <c r="C30" s="4">
        <v>27</v>
      </c>
      <c r="D30" s="26">
        <v>11374470</v>
      </c>
      <c r="E30" s="6" t="str">
        <f t="shared" si="0"/>
        <v>High</v>
      </c>
    </row>
    <row r="31" spans="1:7" x14ac:dyDescent="0.25">
      <c r="A31" s="4" t="s">
        <v>608</v>
      </c>
      <c r="B31" s="4" t="s">
        <v>14</v>
      </c>
      <c r="C31" s="4">
        <v>29</v>
      </c>
      <c r="D31" s="26">
        <v>11374470</v>
      </c>
      <c r="E31" s="6" t="str">
        <f t="shared" si="0"/>
        <v>High</v>
      </c>
    </row>
    <row r="32" spans="1:7" x14ac:dyDescent="0.25">
      <c r="A32" s="4" t="s">
        <v>117</v>
      </c>
      <c r="B32" s="4" t="s">
        <v>29</v>
      </c>
      <c r="C32" s="4">
        <v>22</v>
      </c>
      <c r="D32" s="26">
        <v>11374470</v>
      </c>
      <c r="E32" s="6" t="str">
        <f t="shared" si="0"/>
        <v>High</v>
      </c>
    </row>
    <row r="33" spans="1:5" x14ac:dyDescent="0.25">
      <c r="A33" s="4" t="s">
        <v>388</v>
      </c>
      <c r="B33" s="4" t="s">
        <v>32</v>
      </c>
      <c r="C33" s="4">
        <v>23</v>
      </c>
      <c r="D33" s="26">
        <v>10426598</v>
      </c>
      <c r="E33" s="6" t="str">
        <f t="shared" si="0"/>
        <v>High</v>
      </c>
    </row>
    <row r="34" spans="1:5" x14ac:dyDescent="0.25">
      <c r="A34" s="4" t="s">
        <v>202</v>
      </c>
      <c r="B34" s="4" t="s">
        <v>17</v>
      </c>
      <c r="C34" s="4">
        <v>28</v>
      </c>
      <c r="D34" s="26">
        <v>10329380</v>
      </c>
      <c r="E34" s="6" t="str">
        <f t="shared" si="0"/>
        <v>High</v>
      </c>
    </row>
    <row r="35" spans="1:5" x14ac:dyDescent="0.25">
      <c r="A35" s="4" t="s">
        <v>329</v>
      </c>
      <c r="B35" s="4" t="s">
        <v>20</v>
      </c>
      <c r="C35" s="4">
        <v>33</v>
      </c>
      <c r="D35" s="26">
        <v>10110640</v>
      </c>
      <c r="E35" s="6" t="str">
        <f t="shared" si="0"/>
        <v>High</v>
      </c>
    </row>
    <row r="36" spans="1:5" x14ac:dyDescent="0.25">
      <c r="A36" s="4" t="s">
        <v>200</v>
      </c>
      <c r="B36" s="4" t="s">
        <v>83</v>
      </c>
      <c r="C36" s="4">
        <v>24</v>
      </c>
      <c r="D36" s="26">
        <v>10110640</v>
      </c>
      <c r="E36" s="6" t="str">
        <f t="shared" si="0"/>
        <v>High</v>
      </c>
    </row>
    <row r="37" spans="1:5" x14ac:dyDescent="0.25">
      <c r="A37" s="4" t="s">
        <v>406</v>
      </c>
      <c r="B37" s="4" t="s">
        <v>29</v>
      </c>
      <c r="C37" s="4">
        <v>26</v>
      </c>
      <c r="D37" s="26">
        <v>9478725</v>
      </c>
      <c r="E37" s="6" t="str">
        <f t="shared" si="0"/>
        <v>High</v>
      </c>
    </row>
    <row r="38" spans="1:5" x14ac:dyDescent="0.25">
      <c r="A38" s="4" t="s">
        <v>13</v>
      </c>
      <c r="B38" s="4" t="s">
        <v>14</v>
      </c>
      <c r="C38" s="4">
        <v>28</v>
      </c>
      <c r="D38" s="26">
        <v>9478725</v>
      </c>
      <c r="E38" s="6" t="str">
        <f t="shared" si="0"/>
        <v>High</v>
      </c>
    </row>
    <row r="39" spans="1:5" x14ac:dyDescent="0.25">
      <c r="A39" s="4" t="s">
        <v>561</v>
      </c>
      <c r="B39" s="4" t="s">
        <v>83</v>
      </c>
      <c r="C39" s="4">
        <v>26</v>
      </c>
      <c r="D39" s="26">
        <v>9478725</v>
      </c>
      <c r="E39" s="6" t="str">
        <f t="shared" si="0"/>
        <v>High</v>
      </c>
    </row>
    <row r="40" spans="1:5" x14ac:dyDescent="0.25">
      <c r="A40" s="4" t="s">
        <v>227</v>
      </c>
      <c r="B40" s="4" t="s">
        <v>14</v>
      </c>
      <c r="C40" s="4">
        <v>36</v>
      </c>
      <c r="D40" s="26">
        <v>9478725</v>
      </c>
      <c r="E40" s="6" t="str">
        <f t="shared" si="0"/>
        <v>High</v>
      </c>
    </row>
    <row r="41" spans="1:5" x14ac:dyDescent="0.25">
      <c r="A41" s="4" t="s">
        <v>131</v>
      </c>
      <c r="B41" s="4" t="s">
        <v>20</v>
      </c>
      <c r="C41" s="4">
        <v>31</v>
      </c>
      <c r="D41" s="26">
        <v>9478725</v>
      </c>
      <c r="E41" s="6" t="str">
        <f t="shared" si="0"/>
        <v>High</v>
      </c>
    </row>
    <row r="42" spans="1:5" x14ac:dyDescent="0.25">
      <c r="A42" s="4" t="s">
        <v>541</v>
      </c>
      <c r="B42" s="4" t="s">
        <v>91</v>
      </c>
      <c r="C42" s="4">
        <v>22</v>
      </c>
      <c r="D42" s="26">
        <v>9478725</v>
      </c>
      <c r="E42" s="6" t="str">
        <f t="shared" si="0"/>
        <v>High</v>
      </c>
    </row>
    <row r="43" spans="1:5" x14ac:dyDescent="0.25">
      <c r="A43" s="4" t="s">
        <v>506</v>
      </c>
      <c r="B43" s="4" t="s">
        <v>62</v>
      </c>
      <c r="C43" s="4">
        <v>22</v>
      </c>
      <c r="D43" s="26">
        <v>9478725</v>
      </c>
      <c r="E43" s="6" t="str">
        <f t="shared" si="0"/>
        <v>High</v>
      </c>
    </row>
    <row r="44" spans="1:5" x14ac:dyDescent="0.25">
      <c r="A44" s="4" t="s">
        <v>19</v>
      </c>
      <c r="B44" s="4" t="s">
        <v>20</v>
      </c>
      <c r="C44" s="4">
        <v>26</v>
      </c>
      <c r="D44" s="26">
        <v>9478725</v>
      </c>
      <c r="E44" s="6" t="str">
        <f t="shared" si="0"/>
        <v>High</v>
      </c>
    </row>
    <row r="45" spans="1:5" x14ac:dyDescent="0.25">
      <c r="A45" s="4" t="s">
        <v>297</v>
      </c>
      <c r="B45" s="4" t="s">
        <v>298</v>
      </c>
      <c r="C45" s="4">
        <v>27</v>
      </c>
      <c r="D45" s="26">
        <v>9478725</v>
      </c>
      <c r="E45" s="6" t="str">
        <f t="shared" si="0"/>
        <v>High</v>
      </c>
    </row>
    <row r="46" spans="1:5" x14ac:dyDescent="0.25">
      <c r="A46" s="4" t="s">
        <v>437</v>
      </c>
      <c r="B46" s="4" t="s">
        <v>29</v>
      </c>
      <c r="C46" s="4">
        <v>30</v>
      </c>
      <c r="D46" s="26">
        <v>9114159</v>
      </c>
      <c r="E46" s="6" t="str">
        <f t="shared" si="0"/>
        <v>High</v>
      </c>
    </row>
    <row r="47" spans="1:5" x14ac:dyDescent="0.25">
      <c r="A47" s="4" t="s">
        <v>536</v>
      </c>
      <c r="B47" s="4" t="s">
        <v>133</v>
      </c>
      <c r="C47" s="4">
        <v>26</v>
      </c>
      <c r="D47" s="26">
        <v>8846810</v>
      </c>
      <c r="E47" s="6" t="str">
        <f t="shared" si="0"/>
        <v>High</v>
      </c>
    </row>
    <row r="48" spans="1:5" x14ac:dyDescent="0.25">
      <c r="A48" s="4" t="s">
        <v>344</v>
      </c>
      <c r="B48" s="4" t="s">
        <v>29</v>
      </c>
      <c r="C48" s="4">
        <v>35</v>
      </c>
      <c r="D48" s="26">
        <v>8846810</v>
      </c>
      <c r="E48" s="6" t="str">
        <f t="shared" si="0"/>
        <v>High</v>
      </c>
    </row>
    <row r="49" spans="1:5" x14ac:dyDescent="0.25">
      <c r="A49" s="4" t="s">
        <v>257</v>
      </c>
      <c r="B49" s="4" t="s">
        <v>29</v>
      </c>
      <c r="C49" s="4">
        <v>31</v>
      </c>
      <c r="D49" s="26">
        <v>8846810</v>
      </c>
      <c r="E49" s="6" t="str">
        <f t="shared" si="0"/>
        <v>High</v>
      </c>
    </row>
    <row r="50" spans="1:5" x14ac:dyDescent="0.25">
      <c r="A50" s="4" t="s">
        <v>659</v>
      </c>
      <c r="B50" s="4" t="s">
        <v>29</v>
      </c>
      <c r="C50" s="4">
        <v>34</v>
      </c>
      <c r="D50" s="26">
        <v>8846810</v>
      </c>
      <c r="E50" s="6" t="str">
        <f t="shared" si="0"/>
        <v>High</v>
      </c>
    </row>
    <row r="51" spans="1:5" x14ac:dyDescent="0.25">
      <c r="A51" s="4" t="s">
        <v>253</v>
      </c>
      <c r="B51" s="4" t="s">
        <v>62</v>
      </c>
      <c r="C51" s="4">
        <v>30</v>
      </c>
      <c r="D51" s="26">
        <v>8846810</v>
      </c>
      <c r="E51" s="6" t="str">
        <f t="shared" si="0"/>
        <v>High</v>
      </c>
    </row>
    <row r="52" spans="1:5" x14ac:dyDescent="0.25">
      <c r="A52" s="4" t="s">
        <v>569</v>
      </c>
      <c r="B52" s="4" t="s">
        <v>83</v>
      </c>
      <c r="C52" s="4">
        <v>21</v>
      </c>
      <c r="D52" s="26">
        <v>8263504</v>
      </c>
      <c r="E52" s="6" t="str">
        <f t="shared" si="0"/>
        <v>High</v>
      </c>
    </row>
    <row r="53" spans="1:5" x14ac:dyDescent="0.25">
      <c r="A53" s="4" t="s">
        <v>669</v>
      </c>
      <c r="B53" s="4" t="s">
        <v>133</v>
      </c>
      <c r="C53" s="4">
        <v>28</v>
      </c>
      <c r="D53" s="26">
        <v>8214895</v>
      </c>
      <c r="E53" s="6" t="str">
        <f t="shared" si="0"/>
        <v>High</v>
      </c>
    </row>
    <row r="54" spans="1:5" x14ac:dyDescent="0.25">
      <c r="A54" s="4" t="s">
        <v>86</v>
      </c>
      <c r="B54" s="4" t="s">
        <v>67</v>
      </c>
      <c r="C54" s="4">
        <v>34</v>
      </c>
      <c r="D54" s="26">
        <v>8214895</v>
      </c>
      <c r="E54" s="6" t="str">
        <f t="shared" si="0"/>
        <v>High</v>
      </c>
    </row>
    <row r="55" spans="1:5" x14ac:dyDescent="0.25">
      <c r="A55" s="4" t="s">
        <v>486</v>
      </c>
      <c r="B55" s="4" t="s">
        <v>14</v>
      </c>
      <c r="C55" s="4">
        <v>29</v>
      </c>
      <c r="D55" s="26">
        <v>7898938</v>
      </c>
      <c r="E55" s="6" t="str">
        <f t="shared" si="0"/>
        <v>High</v>
      </c>
    </row>
    <row r="56" spans="1:5" x14ac:dyDescent="0.25">
      <c r="A56" s="4" t="s">
        <v>386</v>
      </c>
      <c r="B56" s="4" t="s">
        <v>20</v>
      </c>
      <c r="C56" s="4">
        <v>25</v>
      </c>
      <c r="D56" s="26">
        <v>7655894</v>
      </c>
      <c r="E56" s="6" t="str">
        <f t="shared" si="0"/>
        <v>High</v>
      </c>
    </row>
    <row r="57" spans="1:5" x14ac:dyDescent="0.25">
      <c r="A57" s="4" t="s">
        <v>454</v>
      </c>
      <c r="B57" s="4" t="s">
        <v>29</v>
      </c>
      <c r="C57" s="4">
        <v>23</v>
      </c>
      <c r="D57" s="26">
        <v>7582980</v>
      </c>
      <c r="E57" s="6" t="str">
        <f t="shared" si="0"/>
        <v>High</v>
      </c>
    </row>
    <row r="58" spans="1:5" x14ac:dyDescent="0.25">
      <c r="A58" s="4" t="s">
        <v>140</v>
      </c>
      <c r="B58" s="4" t="s">
        <v>60</v>
      </c>
      <c r="C58" s="4">
        <v>24</v>
      </c>
      <c r="D58" s="26">
        <v>7582980</v>
      </c>
      <c r="E58" s="6" t="str">
        <f t="shared" si="0"/>
        <v>High</v>
      </c>
    </row>
    <row r="59" spans="1:5" x14ac:dyDescent="0.25">
      <c r="A59" s="4" t="s">
        <v>233</v>
      </c>
      <c r="B59" s="4" t="s">
        <v>14</v>
      </c>
      <c r="C59" s="4">
        <v>28</v>
      </c>
      <c r="D59" s="26">
        <v>7582980</v>
      </c>
      <c r="E59" s="6" t="str">
        <f t="shared" si="0"/>
        <v>High</v>
      </c>
    </row>
    <row r="60" spans="1:5" x14ac:dyDescent="0.25">
      <c r="A60" s="4" t="s">
        <v>330</v>
      </c>
      <c r="B60" s="4" t="s">
        <v>331</v>
      </c>
      <c r="C60" s="4">
        <v>32</v>
      </c>
      <c r="D60" s="26">
        <v>7582980</v>
      </c>
      <c r="E60" s="6" t="str">
        <f t="shared" si="0"/>
        <v>High</v>
      </c>
    </row>
    <row r="61" spans="1:5" x14ac:dyDescent="0.25">
      <c r="A61" s="4" t="s">
        <v>310</v>
      </c>
      <c r="B61" s="4" t="s">
        <v>75</v>
      </c>
      <c r="C61" s="4">
        <v>27</v>
      </c>
      <c r="D61" s="26">
        <v>7582980</v>
      </c>
      <c r="E61" s="6" t="str">
        <f t="shared" si="0"/>
        <v>High</v>
      </c>
    </row>
    <row r="62" spans="1:5" x14ac:dyDescent="0.25">
      <c r="A62" s="4" t="s">
        <v>593</v>
      </c>
      <c r="B62" s="4" t="s">
        <v>162</v>
      </c>
      <c r="C62" s="4">
        <v>30</v>
      </c>
      <c r="D62" s="26">
        <v>7582980</v>
      </c>
      <c r="E62" s="6" t="str">
        <f t="shared" si="0"/>
        <v>High</v>
      </c>
    </row>
    <row r="63" spans="1:5" x14ac:dyDescent="0.25">
      <c r="A63" s="4" t="s">
        <v>16</v>
      </c>
      <c r="B63" s="4" t="s">
        <v>17</v>
      </c>
      <c r="C63" s="4">
        <v>28</v>
      </c>
      <c r="D63" s="26">
        <v>7582980</v>
      </c>
      <c r="E63" s="6" t="str">
        <f t="shared" si="0"/>
        <v>High</v>
      </c>
    </row>
    <row r="64" spans="1:5" x14ac:dyDescent="0.25">
      <c r="A64" s="4" t="s">
        <v>463</v>
      </c>
      <c r="B64" s="4" t="s">
        <v>17</v>
      </c>
      <c r="C64" s="4">
        <v>26</v>
      </c>
      <c r="D64" s="26">
        <v>7582980</v>
      </c>
      <c r="E64" s="6" t="str">
        <f t="shared" si="0"/>
        <v>High</v>
      </c>
    </row>
    <row r="65" spans="1:5" x14ac:dyDescent="0.25">
      <c r="A65" s="4" t="s">
        <v>534</v>
      </c>
      <c r="B65" s="4" t="s">
        <v>29</v>
      </c>
      <c r="C65" s="4">
        <v>27</v>
      </c>
      <c r="D65" s="26">
        <v>7582980</v>
      </c>
      <c r="E65" s="6" t="str">
        <f t="shared" si="0"/>
        <v>High</v>
      </c>
    </row>
    <row r="66" spans="1:5" x14ac:dyDescent="0.25">
      <c r="A66" s="4" t="s">
        <v>286</v>
      </c>
      <c r="B66" s="4" t="s">
        <v>287</v>
      </c>
      <c r="C66" s="4">
        <v>26</v>
      </c>
      <c r="D66" s="26">
        <v>7582980</v>
      </c>
      <c r="E66" s="6" t="str">
        <f t="shared" si="0"/>
        <v>High</v>
      </c>
    </row>
    <row r="67" spans="1:5" x14ac:dyDescent="0.25">
      <c r="A67" s="4" t="s">
        <v>616</v>
      </c>
      <c r="B67" s="4" t="s">
        <v>29</v>
      </c>
      <c r="C67" s="4">
        <v>29</v>
      </c>
      <c r="D67" s="26">
        <v>7582980</v>
      </c>
      <c r="E67" s="6" t="str">
        <f t="shared" ref="E67:E130" si="1">VLOOKUP(D67,$G$14:$I$18,3,1)</f>
        <v>High</v>
      </c>
    </row>
    <row r="68" spans="1:5" x14ac:dyDescent="0.25">
      <c r="A68" s="4" t="s">
        <v>252</v>
      </c>
      <c r="B68" s="4" t="s">
        <v>14</v>
      </c>
      <c r="C68" s="4">
        <v>23</v>
      </c>
      <c r="D68" s="26">
        <v>7582980</v>
      </c>
      <c r="E68" s="6" t="str">
        <f t="shared" si="1"/>
        <v>High</v>
      </c>
    </row>
    <row r="69" spans="1:5" x14ac:dyDescent="0.25">
      <c r="A69" s="4" t="s">
        <v>305</v>
      </c>
      <c r="B69" s="4" t="s">
        <v>20</v>
      </c>
      <c r="C69" s="4">
        <v>27</v>
      </c>
      <c r="D69" s="26">
        <v>7582980</v>
      </c>
      <c r="E69" s="6" t="str">
        <f t="shared" si="1"/>
        <v>High</v>
      </c>
    </row>
    <row r="70" spans="1:5" x14ac:dyDescent="0.25">
      <c r="A70" s="4" t="s">
        <v>628</v>
      </c>
      <c r="B70" s="4" t="s">
        <v>479</v>
      </c>
      <c r="C70" s="4">
        <v>30</v>
      </c>
      <c r="D70" s="26">
        <v>7582980</v>
      </c>
      <c r="E70" s="6" t="str">
        <f t="shared" si="1"/>
        <v>High</v>
      </c>
    </row>
    <row r="71" spans="1:5" x14ac:dyDescent="0.25">
      <c r="A71" s="4" t="s">
        <v>510</v>
      </c>
      <c r="B71" s="4" t="s">
        <v>29</v>
      </c>
      <c r="C71" s="4">
        <v>20</v>
      </c>
      <c r="D71" s="26">
        <v>7582980</v>
      </c>
      <c r="E71" s="6" t="str">
        <f t="shared" si="1"/>
        <v>High</v>
      </c>
    </row>
    <row r="72" spans="1:5" x14ac:dyDescent="0.25">
      <c r="A72" s="4" t="s">
        <v>399</v>
      </c>
      <c r="B72" s="4" t="s">
        <v>17</v>
      </c>
      <c r="C72" s="4">
        <v>22</v>
      </c>
      <c r="D72" s="26">
        <v>7582980</v>
      </c>
      <c r="E72" s="6" t="str">
        <f t="shared" si="1"/>
        <v>High</v>
      </c>
    </row>
    <row r="73" spans="1:5" x14ac:dyDescent="0.25">
      <c r="A73" s="4" t="s">
        <v>345</v>
      </c>
      <c r="B73" s="4" t="s">
        <v>122</v>
      </c>
      <c r="C73" s="4">
        <v>26</v>
      </c>
      <c r="D73" s="26">
        <v>7582980</v>
      </c>
      <c r="E73" s="6" t="str">
        <f t="shared" si="1"/>
        <v>High</v>
      </c>
    </row>
    <row r="74" spans="1:5" x14ac:dyDescent="0.25">
      <c r="A74" s="4" t="s">
        <v>667</v>
      </c>
      <c r="B74" s="4" t="s">
        <v>353</v>
      </c>
      <c r="C74" s="4">
        <v>31</v>
      </c>
      <c r="D74" s="26">
        <v>7267023</v>
      </c>
      <c r="E74" s="6" t="str">
        <f t="shared" si="1"/>
        <v>Medium</v>
      </c>
    </row>
    <row r="75" spans="1:5" x14ac:dyDescent="0.25">
      <c r="A75" s="4" t="s">
        <v>245</v>
      </c>
      <c r="B75" s="4" t="s">
        <v>83</v>
      </c>
      <c r="C75" s="4">
        <v>28</v>
      </c>
      <c r="D75" s="26">
        <v>7096892</v>
      </c>
      <c r="E75" s="6" t="str">
        <f t="shared" si="1"/>
        <v>Medium</v>
      </c>
    </row>
    <row r="76" spans="1:5" x14ac:dyDescent="0.25">
      <c r="A76" s="4" t="s">
        <v>432</v>
      </c>
      <c r="B76" s="4" t="s">
        <v>127</v>
      </c>
      <c r="C76" s="4">
        <v>24</v>
      </c>
      <c r="D76" s="26">
        <v>6951065</v>
      </c>
      <c r="E76" s="6" t="str">
        <f t="shared" si="1"/>
        <v>Medium</v>
      </c>
    </row>
    <row r="77" spans="1:5" x14ac:dyDescent="0.25">
      <c r="A77" s="4" t="s">
        <v>515</v>
      </c>
      <c r="B77" s="4" t="s">
        <v>75</v>
      </c>
      <c r="C77" s="4">
        <v>21</v>
      </c>
      <c r="D77" s="26">
        <v>6951065</v>
      </c>
      <c r="E77" s="6" t="str">
        <f t="shared" si="1"/>
        <v>Medium</v>
      </c>
    </row>
    <row r="78" spans="1:5" x14ac:dyDescent="0.25">
      <c r="A78" s="4" t="s">
        <v>522</v>
      </c>
      <c r="B78" s="4" t="s">
        <v>29</v>
      </c>
      <c r="C78" s="4">
        <v>24</v>
      </c>
      <c r="D78" s="26">
        <v>6951065</v>
      </c>
      <c r="E78" s="6" t="str">
        <f t="shared" si="1"/>
        <v>Medium</v>
      </c>
    </row>
    <row r="79" spans="1:5" x14ac:dyDescent="0.25">
      <c r="A79" s="4" t="s">
        <v>447</v>
      </c>
      <c r="B79" s="4" t="s">
        <v>29</v>
      </c>
      <c r="C79" s="4">
        <v>31</v>
      </c>
      <c r="D79" s="26">
        <v>6951065</v>
      </c>
      <c r="E79" s="6" t="str">
        <f t="shared" si="1"/>
        <v>Medium</v>
      </c>
    </row>
    <row r="80" spans="1:5" x14ac:dyDescent="0.25">
      <c r="A80" s="4" t="s">
        <v>275</v>
      </c>
      <c r="B80" s="4" t="s">
        <v>276</v>
      </c>
      <c r="C80" s="4">
        <v>29</v>
      </c>
      <c r="D80" s="26">
        <v>6951065</v>
      </c>
      <c r="E80" s="6" t="str">
        <f t="shared" si="1"/>
        <v>Medium</v>
      </c>
    </row>
    <row r="81" spans="1:5" x14ac:dyDescent="0.25">
      <c r="A81" s="4" t="s">
        <v>410</v>
      </c>
      <c r="B81" s="4" t="s">
        <v>14</v>
      </c>
      <c r="C81" s="4">
        <v>36</v>
      </c>
      <c r="D81" s="26">
        <v>6951065</v>
      </c>
      <c r="E81" s="6" t="str">
        <f t="shared" si="1"/>
        <v>Medium</v>
      </c>
    </row>
    <row r="82" spans="1:5" x14ac:dyDescent="0.25">
      <c r="A82" s="4" t="s">
        <v>261</v>
      </c>
      <c r="B82" s="4" t="s">
        <v>67</v>
      </c>
      <c r="C82" s="4">
        <v>25</v>
      </c>
      <c r="D82" s="26">
        <v>6440672</v>
      </c>
      <c r="E82" s="6" t="str">
        <f t="shared" si="1"/>
        <v>Medium</v>
      </c>
    </row>
    <row r="83" spans="1:5" x14ac:dyDescent="0.25">
      <c r="A83" s="4" t="s">
        <v>61</v>
      </c>
      <c r="B83" s="4" t="s">
        <v>62</v>
      </c>
      <c r="C83" s="4">
        <v>29</v>
      </c>
      <c r="D83" s="26">
        <v>6319150</v>
      </c>
      <c r="E83" s="6" t="str">
        <f t="shared" si="1"/>
        <v>Medium</v>
      </c>
    </row>
    <row r="84" spans="1:5" x14ac:dyDescent="0.25">
      <c r="A84" s="4" t="s">
        <v>459</v>
      </c>
      <c r="B84" s="4" t="s">
        <v>402</v>
      </c>
      <c r="C84" s="4">
        <v>28</v>
      </c>
      <c r="D84" s="26">
        <v>6319150</v>
      </c>
      <c r="E84" s="6" t="str">
        <f t="shared" si="1"/>
        <v>Medium</v>
      </c>
    </row>
    <row r="85" spans="1:5" x14ac:dyDescent="0.25">
      <c r="A85" s="4" t="s">
        <v>293</v>
      </c>
      <c r="B85" s="4" t="s">
        <v>26</v>
      </c>
      <c r="C85" s="4">
        <v>28</v>
      </c>
      <c r="D85" s="26">
        <v>6319150</v>
      </c>
      <c r="E85" s="6" t="str">
        <f t="shared" si="1"/>
        <v>Medium</v>
      </c>
    </row>
    <row r="86" spans="1:5" x14ac:dyDescent="0.25">
      <c r="A86" s="4" t="s">
        <v>743</v>
      </c>
      <c r="B86" s="4" t="s">
        <v>29</v>
      </c>
      <c r="C86" s="4">
        <v>24</v>
      </c>
      <c r="D86" s="26">
        <v>6319150</v>
      </c>
      <c r="E86" s="6" t="str">
        <f t="shared" si="1"/>
        <v>Medium</v>
      </c>
    </row>
    <row r="87" spans="1:5" x14ac:dyDescent="0.25">
      <c r="A87" s="4" t="s">
        <v>119</v>
      </c>
      <c r="B87" s="4" t="s">
        <v>29</v>
      </c>
      <c r="C87" s="4">
        <v>25</v>
      </c>
      <c r="D87" s="26">
        <v>6319150</v>
      </c>
      <c r="E87" s="6" t="str">
        <f t="shared" si="1"/>
        <v>Medium</v>
      </c>
    </row>
    <row r="88" spans="1:5" x14ac:dyDescent="0.25">
      <c r="A88" s="4" t="s">
        <v>64</v>
      </c>
      <c r="B88" s="4" t="s">
        <v>17</v>
      </c>
      <c r="C88" s="4">
        <v>34</v>
      </c>
      <c r="D88" s="26">
        <v>6319150</v>
      </c>
      <c r="E88" s="6" t="str">
        <f t="shared" si="1"/>
        <v>Medium</v>
      </c>
    </row>
    <row r="89" spans="1:5" x14ac:dyDescent="0.25">
      <c r="A89" s="4" t="s">
        <v>332</v>
      </c>
      <c r="B89" s="4" t="s">
        <v>333</v>
      </c>
      <c r="C89" s="4">
        <v>29</v>
      </c>
      <c r="D89" s="26">
        <v>6319150</v>
      </c>
      <c r="E89" s="6" t="str">
        <f t="shared" si="1"/>
        <v>Medium</v>
      </c>
    </row>
    <row r="90" spans="1:5" x14ac:dyDescent="0.25">
      <c r="A90" s="4" t="s">
        <v>629</v>
      </c>
      <c r="B90" s="4" t="s">
        <v>72</v>
      </c>
      <c r="C90" s="4">
        <v>29</v>
      </c>
      <c r="D90" s="26">
        <v>6319150</v>
      </c>
      <c r="E90" s="6" t="str">
        <f t="shared" si="1"/>
        <v>Medium</v>
      </c>
    </row>
    <row r="91" spans="1:5" x14ac:dyDescent="0.25">
      <c r="A91" s="4" t="s">
        <v>349</v>
      </c>
      <c r="B91" s="4" t="s">
        <v>83</v>
      </c>
      <c r="C91" s="4">
        <v>34</v>
      </c>
      <c r="D91" s="26">
        <v>6319150</v>
      </c>
      <c r="E91" s="6" t="str">
        <f t="shared" si="1"/>
        <v>Medium</v>
      </c>
    </row>
    <row r="92" spans="1:5" x14ac:dyDescent="0.25">
      <c r="A92" s="4" t="s">
        <v>391</v>
      </c>
      <c r="B92" s="4" t="s">
        <v>62</v>
      </c>
      <c r="C92" s="4">
        <v>28</v>
      </c>
      <c r="D92" s="26">
        <v>6319150</v>
      </c>
      <c r="E92" s="6" t="str">
        <f t="shared" si="1"/>
        <v>Medium</v>
      </c>
    </row>
    <row r="93" spans="1:5" x14ac:dyDescent="0.25">
      <c r="A93" s="4" t="s">
        <v>576</v>
      </c>
      <c r="B93" s="4" t="s">
        <v>317</v>
      </c>
      <c r="C93" s="4">
        <v>28</v>
      </c>
      <c r="D93" s="26">
        <v>6319150</v>
      </c>
      <c r="E93" s="6" t="str">
        <f t="shared" si="1"/>
        <v>Medium</v>
      </c>
    </row>
    <row r="94" spans="1:5" x14ac:dyDescent="0.25">
      <c r="A94" s="4" t="s">
        <v>120</v>
      </c>
      <c r="B94" s="4" t="s">
        <v>20</v>
      </c>
      <c r="C94" s="4">
        <v>30</v>
      </c>
      <c r="D94" s="26">
        <v>6319150</v>
      </c>
      <c r="E94" s="6" t="str">
        <f t="shared" si="1"/>
        <v>Medium</v>
      </c>
    </row>
    <row r="95" spans="1:5" x14ac:dyDescent="0.25">
      <c r="A95" s="4" t="s">
        <v>834</v>
      </c>
      <c r="B95" s="4" t="s">
        <v>144</v>
      </c>
      <c r="C95" s="4">
        <v>32</v>
      </c>
      <c r="D95" s="26">
        <v>6319150</v>
      </c>
      <c r="E95" s="6" t="str">
        <f t="shared" si="1"/>
        <v>Medium</v>
      </c>
    </row>
    <row r="96" spans="1:5" x14ac:dyDescent="0.25">
      <c r="A96" s="4" t="s">
        <v>76</v>
      </c>
      <c r="B96" s="4" t="s">
        <v>29</v>
      </c>
      <c r="C96" s="4">
        <v>27</v>
      </c>
      <c r="D96" s="26">
        <v>6319150</v>
      </c>
      <c r="E96" s="6" t="str">
        <f t="shared" si="1"/>
        <v>Medium</v>
      </c>
    </row>
    <row r="97" spans="1:5" x14ac:dyDescent="0.25">
      <c r="A97" s="4" t="s">
        <v>416</v>
      </c>
      <c r="B97" s="4" t="s">
        <v>17</v>
      </c>
      <c r="C97" s="4">
        <v>22</v>
      </c>
      <c r="D97" s="26">
        <v>6258389</v>
      </c>
      <c r="E97" s="6" t="str">
        <f t="shared" si="1"/>
        <v>Medium</v>
      </c>
    </row>
    <row r="98" spans="1:5" x14ac:dyDescent="0.25">
      <c r="A98" s="4" t="s">
        <v>594</v>
      </c>
      <c r="B98" s="4" t="s">
        <v>29</v>
      </c>
      <c r="C98" s="4">
        <v>24</v>
      </c>
      <c r="D98" s="26">
        <v>6076106</v>
      </c>
      <c r="E98" s="6" t="str">
        <f t="shared" si="1"/>
        <v>Medium</v>
      </c>
    </row>
    <row r="99" spans="1:5" x14ac:dyDescent="0.25">
      <c r="A99" s="4" t="s">
        <v>136</v>
      </c>
      <c r="B99" s="4" t="s">
        <v>29</v>
      </c>
      <c r="C99" s="4">
        <v>27</v>
      </c>
      <c r="D99" s="26">
        <v>6076106</v>
      </c>
      <c r="E99" s="6" t="str">
        <f t="shared" si="1"/>
        <v>Medium</v>
      </c>
    </row>
    <row r="100" spans="1:5" x14ac:dyDescent="0.25">
      <c r="A100" s="4" t="s">
        <v>606</v>
      </c>
      <c r="B100" s="4" t="s">
        <v>17</v>
      </c>
      <c r="C100" s="4">
        <v>23</v>
      </c>
      <c r="D100" s="26">
        <v>5991041</v>
      </c>
      <c r="E100" s="6" t="str">
        <f t="shared" si="1"/>
        <v>Medium</v>
      </c>
    </row>
    <row r="101" spans="1:5" x14ac:dyDescent="0.25">
      <c r="A101" s="4" t="s">
        <v>428</v>
      </c>
      <c r="B101" s="4" t="s">
        <v>14</v>
      </c>
      <c r="C101" s="4">
        <v>28</v>
      </c>
      <c r="D101" s="26">
        <v>5881671</v>
      </c>
      <c r="E101" s="6" t="str">
        <f t="shared" si="1"/>
        <v>Medium</v>
      </c>
    </row>
    <row r="102" spans="1:5" x14ac:dyDescent="0.25">
      <c r="A102" s="4" t="s">
        <v>112</v>
      </c>
      <c r="B102" s="4" t="s">
        <v>60</v>
      </c>
      <c r="C102" s="4">
        <v>26</v>
      </c>
      <c r="D102" s="26">
        <v>5833062</v>
      </c>
      <c r="E102" s="6" t="str">
        <f t="shared" si="1"/>
        <v>Medium</v>
      </c>
    </row>
    <row r="103" spans="1:5" x14ac:dyDescent="0.25">
      <c r="A103" s="4" t="s">
        <v>302</v>
      </c>
      <c r="B103" s="4" t="s">
        <v>29</v>
      </c>
      <c r="C103" s="4">
        <v>33</v>
      </c>
      <c r="D103" s="26">
        <v>5711540</v>
      </c>
      <c r="E103" s="6" t="str">
        <f t="shared" si="1"/>
        <v>Medium</v>
      </c>
    </row>
    <row r="104" spans="1:5" x14ac:dyDescent="0.25">
      <c r="A104" s="4" t="s">
        <v>523</v>
      </c>
      <c r="B104" s="4" t="s">
        <v>14</v>
      </c>
      <c r="C104" s="4">
        <v>20</v>
      </c>
      <c r="D104" s="26">
        <v>5687235</v>
      </c>
      <c r="E104" s="6" t="str">
        <f t="shared" si="1"/>
        <v>Medium</v>
      </c>
    </row>
    <row r="105" spans="1:5" x14ac:dyDescent="0.25">
      <c r="A105" s="4" t="s">
        <v>449</v>
      </c>
      <c r="B105" s="4" t="s">
        <v>29</v>
      </c>
      <c r="C105" s="4">
        <v>23</v>
      </c>
      <c r="D105" s="26">
        <v>5687235</v>
      </c>
      <c r="E105" s="6" t="str">
        <f t="shared" si="1"/>
        <v>Medium</v>
      </c>
    </row>
    <row r="106" spans="1:5" x14ac:dyDescent="0.25">
      <c r="A106" s="4" t="s">
        <v>620</v>
      </c>
      <c r="B106" s="4" t="s">
        <v>83</v>
      </c>
      <c r="C106" s="4">
        <v>24</v>
      </c>
      <c r="D106" s="26">
        <v>5687235</v>
      </c>
      <c r="E106" s="6" t="str">
        <f t="shared" si="1"/>
        <v>Medium</v>
      </c>
    </row>
    <row r="107" spans="1:5" x14ac:dyDescent="0.25">
      <c r="A107" s="4" t="s">
        <v>197</v>
      </c>
      <c r="B107" s="4" t="s">
        <v>162</v>
      </c>
      <c r="C107" s="4">
        <v>26</v>
      </c>
      <c r="D107" s="26">
        <v>5687235</v>
      </c>
      <c r="E107" s="6" t="str">
        <f t="shared" si="1"/>
        <v>Medium</v>
      </c>
    </row>
    <row r="108" spans="1:5" x14ac:dyDescent="0.25">
      <c r="A108" s="4" t="s">
        <v>341</v>
      </c>
      <c r="B108" s="4" t="s">
        <v>17</v>
      </c>
      <c r="C108" s="4">
        <v>27</v>
      </c>
      <c r="D108" s="26">
        <v>5687235</v>
      </c>
      <c r="E108" s="6" t="str">
        <f t="shared" si="1"/>
        <v>Medium</v>
      </c>
    </row>
    <row r="109" spans="1:5" x14ac:dyDescent="0.25">
      <c r="A109" s="4" t="s">
        <v>617</v>
      </c>
      <c r="B109" s="4" t="s">
        <v>14</v>
      </c>
      <c r="C109" s="4">
        <v>24</v>
      </c>
      <c r="D109" s="26">
        <v>5687235</v>
      </c>
      <c r="E109" s="6" t="str">
        <f t="shared" si="1"/>
        <v>Medium</v>
      </c>
    </row>
    <row r="110" spans="1:5" x14ac:dyDescent="0.25">
      <c r="A110" s="4" t="s">
        <v>549</v>
      </c>
      <c r="B110" s="4" t="s">
        <v>14</v>
      </c>
      <c r="C110" s="4">
        <v>24</v>
      </c>
      <c r="D110" s="26">
        <v>5687235</v>
      </c>
      <c r="E110" s="6" t="str">
        <f t="shared" si="1"/>
        <v>Medium</v>
      </c>
    </row>
    <row r="111" spans="1:5" x14ac:dyDescent="0.25">
      <c r="A111" s="4" t="s">
        <v>527</v>
      </c>
      <c r="B111" s="4" t="s">
        <v>29</v>
      </c>
      <c r="C111" s="4">
        <v>22</v>
      </c>
      <c r="D111" s="26">
        <v>5590018</v>
      </c>
      <c r="E111" s="6" t="str">
        <f t="shared" si="1"/>
        <v>Medium</v>
      </c>
    </row>
    <row r="112" spans="1:5" x14ac:dyDescent="0.25">
      <c r="A112" s="4" t="s">
        <v>326</v>
      </c>
      <c r="B112" s="4" t="s">
        <v>20</v>
      </c>
      <c r="C112" s="4">
        <v>27</v>
      </c>
      <c r="D112" s="26">
        <v>5371278</v>
      </c>
      <c r="E112" s="6" t="str">
        <f t="shared" si="1"/>
        <v>Medium</v>
      </c>
    </row>
    <row r="113" spans="1:5" x14ac:dyDescent="0.25">
      <c r="A113" s="4" t="s">
        <v>176</v>
      </c>
      <c r="B113" s="4" t="s">
        <v>29</v>
      </c>
      <c r="C113" s="4">
        <v>30</v>
      </c>
      <c r="D113" s="26">
        <v>5103929</v>
      </c>
      <c r="E113" s="6" t="str">
        <f t="shared" si="1"/>
        <v>Medium</v>
      </c>
    </row>
    <row r="114" spans="1:5" x14ac:dyDescent="0.25">
      <c r="A114" s="4" t="s">
        <v>132</v>
      </c>
      <c r="B114" s="4" t="s">
        <v>133</v>
      </c>
      <c r="C114" s="4">
        <v>27</v>
      </c>
      <c r="D114" s="26">
        <v>5055320</v>
      </c>
      <c r="E114" s="6" t="str">
        <f t="shared" si="1"/>
        <v>Medium</v>
      </c>
    </row>
    <row r="115" spans="1:5" x14ac:dyDescent="0.25">
      <c r="A115" s="4" t="s">
        <v>411</v>
      </c>
      <c r="B115" s="4" t="s">
        <v>17</v>
      </c>
      <c r="C115" s="4">
        <v>31</v>
      </c>
      <c r="D115" s="26">
        <v>5055320</v>
      </c>
      <c r="E115" s="6" t="str">
        <f t="shared" si="1"/>
        <v>Medium</v>
      </c>
    </row>
    <row r="116" spans="1:5" x14ac:dyDescent="0.25">
      <c r="A116" s="4" t="s">
        <v>481</v>
      </c>
      <c r="B116" s="4" t="s">
        <v>20</v>
      </c>
      <c r="C116" s="4">
        <v>20</v>
      </c>
      <c r="D116" s="26">
        <v>5055320</v>
      </c>
      <c r="E116" s="6" t="str">
        <f t="shared" si="1"/>
        <v>Medium</v>
      </c>
    </row>
    <row r="117" spans="1:5" x14ac:dyDescent="0.25">
      <c r="A117" s="4" t="s">
        <v>528</v>
      </c>
      <c r="B117" s="4" t="s">
        <v>14</v>
      </c>
      <c r="C117" s="4">
        <v>28</v>
      </c>
      <c r="D117" s="26">
        <v>5055320</v>
      </c>
      <c r="E117" s="6" t="str">
        <f t="shared" si="1"/>
        <v>Medium</v>
      </c>
    </row>
    <row r="118" spans="1:5" x14ac:dyDescent="0.25">
      <c r="A118" s="4" t="s">
        <v>346</v>
      </c>
      <c r="B118" s="4" t="s">
        <v>29</v>
      </c>
      <c r="C118" s="4">
        <v>28</v>
      </c>
      <c r="D118" s="26">
        <v>5055320</v>
      </c>
      <c r="E118" s="6" t="str">
        <f t="shared" si="1"/>
        <v>Medium</v>
      </c>
    </row>
    <row r="119" spans="1:5" x14ac:dyDescent="0.25">
      <c r="A119" s="4" t="s">
        <v>651</v>
      </c>
      <c r="B119" s="4" t="s">
        <v>83</v>
      </c>
      <c r="C119" s="4">
        <v>19</v>
      </c>
      <c r="D119" s="26">
        <v>5055320</v>
      </c>
      <c r="E119" s="6" t="str">
        <f t="shared" si="1"/>
        <v>Medium</v>
      </c>
    </row>
    <row r="120" spans="1:5" x14ac:dyDescent="0.25">
      <c r="A120" s="4" t="s">
        <v>220</v>
      </c>
      <c r="B120" s="4" t="s">
        <v>165</v>
      </c>
      <c r="C120" s="4">
        <v>33</v>
      </c>
      <c r="D120" s="26">
        <v>5055320</v>
      </c>
      <c r="E120" s="6" t="str">
        <f t="shared" si="1"/>
        <v>Medium</v>
      </c>
    </row>
    <row r="121" spans="1:5" x14ac:dyDescent="0.25">
      <c r="A121" s="4" t="s">
        <v>514</v>
      </c>
      <c r="B121" s="4" t="s">
        <v>14</v>
      </c>
      <c r="C121" s="4">
        <v>24</v>
      </c>
      <c r="D121" s="26">
        <v>5055320</v>
      </c>
      <c r="E121" s="6" t="str">
        <f t="shared" si="1"/>
        <v>Medium</v>
      </c>
    </row>
    <row r="122" spans="1:5" x14ac:dyDescent="0.25">
      <c r="A122" s="4" t="s">
        <v>158</v>
      </c>
      <c r="B122" s="4" t="s">
        <v>83</v>
      </c>
      <c r="C122" s="4">
        <v>27</v>
      </c>
      <c r="D122" s="26">
        <v>5055320</v>
      </c>
      <c r="E122" s="6" t="str">
        <f t="shared" si="1"/>
        <v>Medium</v>
      </c>
    </row>
    <row r="123" spans="1:5" x14ac:dyDescent="0.25">
      <c r="A123" s="4" t="s">
        <v>173</v>
      </c>
      <c r="B123" s="4" t="s">
        <v>67</v>
      </c>
      <c r="C123" s="4">
        <v>25</v>
      </c>
      <c r="D123" s="26">
        <v>5055320</v>
      </c>
      <c r="E123" s="6" t="str">
        <f t="shared" si="1"/>
        <v>Medium</v>
      </c>
    </row>
    <row r="124" spans="1:5" x14ac:dyDescent="0.25">
      <c r="A124" s="4" t="s">
        <v>196</v>
      </c>
      <c r="B124" s="4" t="s">
        <v>29</v>
      </c>
      <c r="C124" s="4">
        <v>31</v>
      </c>
      <c r="D124" s="26">
        <v>5055320</v>
      </c>
      <c r="E124" s="6" t="str">
        <f t="shared" si="1"/>
        <v>Medium</v>
      </c>
    </row>
    <row r="125" spans="1:5" x14ac:dyDescent="0.25">
      <c r="A125" s="4" t="s">
        <v>125</v>
      </c>
      <c r="B125" s="4" t="s">
        <v>67</v>
      </c>
      <c r="C125" s="4">
        <v>25</v>
      </c>
      <c r="D125" s="26">
        <v>5018864</v>
      </c>
      <c r="E125" s="6" t="str">
        <f t="shared" si="1"/>
        <v>Medium</v>
      </c>
    </row>
    <row r="126" spans="1:5" x14ac:dyDescent="0.25">
      <c r="A126" s="4" t="s">
        <v>365</v>
      </c>
      <c r="B126" s="4" t="s">
        <v>57</v>
      </c>
      <c r="C126" s="4">
        <v>22</v>
      </c>
      <c r="D126" s="26">
        <v>4994559</v>
      </c>
      <c r="E126" s="6" t="str">
        <f t="shared" si="1"/>
        <v>Medium</v>
      </c>
    </row>
    <row r="127" spans="1:5" x14ac:dyDescent="0.25">
      <c r="A127" s="4" t="s">
        <v>567</v>
      </c>
      <c r="B127" s="4" t="s">
        <v>568</v>
      </c>
      <c r="C127" s="4">
        <v>25</v>
      </c>
      <c r="D127" s="26">
        <v>4921646</v>
      </c>
      <c r="E127" s="6" t="str">
        <f t="shared" si="1"/>
        <v>Medium</v>
      </c>
    </row>
    <row r="128" spans="1:5" x14ac:dyDescent="0.25">
      <c r="A128" s="4" t="s">
        <v>48</v>
      </c>
      <c r="B128" s="4" t="s">
        <v>20</v>
      </c>
      <c r="C128" s="4">
        <v>34</v>
      </c>
      <c r="D128" s="26">
        <v>4860885</v>
      </c>
      <c r="E128" s="6" t="str">
        <f t="shared" si="1"/>
        <v>Medium</v>
      </c>
    </row>
    <row r="129" spans="1:5" x14ac:dyDescent="0.25">
      <c r="A129" s="4" t="s">
        <v>403</v>
      </c>
      <c r="B129" s="4" t="s">
        <v>83</v>
      </c>
      <c r="C129" s="4">
        <v>27</v>
      </c>
      <c r="D129" s="26">
        <v>4860885</v>
      </c>
      <c r="E129" s="6" t="str">
        <f t="shared" si="1"/>
        <v>Medium</v>
      </c>
    </row>
    <row r="130" spans="1:5" x14ac:dyDescent="0.25">
      <c r="A130" s="4" t="s">
        <v>244</v>
      </c>
      <c r="B130" s="4" t="s">
        <v>29</v>
      </c>
      <c r="C130" s="4">
        <v>23</v>
      </c>
      <c r="D130" s="26">
        <v>4860885</v>
      </c>
      <c r="E130" s="6" t="str">
        <f t="shared" si="1"/>
        <v>Medium</v>
      </c>
    </row>
    <row r="131" spans="1:5" x14ac:dyDescent="0.25">
      <c r="A131" s="4" t="s">
        <v>413</v>
      </c>
      <c r="B131" s="4" t="s">
        <v>83</v>
      </c>
      <c r="C131" s="4">
        <v>29</v>
      </c>
      <c r="D131" s="26">
        <v>4739363</v>
      </c>
      <c r="E131" s="6" t="str">
        <f t="shared" ref="E131:E194" si="2">VLOOKUP(D131,$G$14:$I$18,3,1)</f>
        <v>Medium</v>
      </c>
    </row>
    <row r="132" spans="1:5" x14ac:dyDescent="0.25">
      <c r="A132" s="4" t="s">
        <v>518</v>
      </c>
      <c r="B132" s="4" t="s">
        <v>29</v>
      </c>
      <c r="C132" s="4">
        <v>28</v>
      </c>
      <c r="D132" s="26">
        <v>4739363</v>
      </c>
      <c r="E132" s="6" t="str">
        <f t="shared" si="2"/>
        <v>Medium</v>
      </c>
    </row>
    <row r="133" spans="1:5" x14ac:dyDescent="0.25">
      <c r="A133" s="4" t="s">
        <v>503</v>
      </c>
      <c r="B133" s="4" t="s">
        <v>29</v>
      </c>
      <c r="C133" s="4">
        <v>19</v>
      </c>
      <c r="D133" s="26">
        <v>4739363</v>
      </c>
      <c r="E133" s="6" t="str">
        <f t="shared" si="2"/>
        <v>Medium</v>
      </c>
    </row>
    <row r="134" spans="1:5" x14ac:dyDescent="0.25">
      <c r="A134" s="4" t="s">
        <v>273</v>
      </c>
      <c r="B134" s="4" t="s">
        <v>29</v>
      </c>
      <c r="C134" s="4">
        <v>29</v>
      </c>
      <c r="D134" s="26">
        <v>4739363</v>
      </c>
      <c r="E134" s="6" t="str">
        <f t="shared" si="2"/>
        <v>Medium</v>
      </c>
    </row>
    <row r="135" spans="1:5" x14ac:dyDescent="0.25">
      <c r="A135" s="4" t="s">
        <v>573</v>
      </c>
      <c r="B135" s="4" t="s">
        <v>29</v>
      </c>
      <c r="C135" s="4">
        <v>32</v>
      </c>
      <c r="D135" s="26">
        <v>4739363</v>
      </c>
      <c r="E135" s="6" t="str">
        <f t="shared" si="2"/>
        <v>Medium</v>
      </c>
    </row>
    <row r="136" spans="1:5" x14ac:dyDescent="0.25">
      <c r="A136" s="4" t="s">
        <v>141</v>
      </c>
      <c r="B136" s="4" t="s">
        <v>142</v>
      </c>
      <c r="C136" s="4">
        <v>24</v>
      </c>
      <c r="D136" s="26">
        <v>4739363</v>
      </c>
      <c r="E136" s="6" t="str">
        <f t="shared" si="2"/>
        <v>Medium</v>
      </c>
    </row>
    <row r="137" spans="1:5" x14ac:dyDescent="0.25">
      <c r="A137" s="4" t="s">
        <v>480</v>
      </c>
      <c r="B137" s="4" t="s">
        <v>60</v>
      </c>
      <c r="C137" s="4">
        <v>23</v>
      </c>
      <c r="D137" s="26">
        <v>4739363</v>
      </c>
      <c r="E137" s="6" t="str">
        <f t="shared" si="2"/>
        <v>Medium</v>
      </c>
    </row>
    <row r="138" spans="1:5" x14ac:dyDescent="0.25">
      <c r="A138" s="4" t="s">
        <v>247</v>
      </c>
      <c r="B138" s="4" t="s">
        <v>29</v>
      </c>
      <c r="C138" s="4">
        <v>24</v>
      </c>
      <c r="D138" s="26">
        <v>4739363</v>
      </c>
      <c r="E138" s="6" t="str">
        <f t="shared" si="2"/>
        <v>Medium</v>
      </c>
    </row>
    <row r="139" spans="1:5" x14ac:dyDescent="0.25">
      <c r="A139" s="4" t="s">
        <v>525</v>
      </c>
      <c r="B139" s="4" t="s">
        <v>434</v>
      </c>
      <c r="C139" s="4">
        <v>26</v>
      </c>
      <c r="D139" s="26">
        <v>4739363</v>
      </c>
      <c r="E139" s="6" t="str">
        <f t="shared" si="2"/>
        <v>Medium</v>
      </c>
    </row>
    <row r="140" spans="1:5" x14ac:dyDescent="0.25">
      <c r="A140" s="4" t="s">
        <v>482</v>
      </c>
      <c r="B140" s="4" t="s">
        <v>32</v>
      </c>
      <c r="C140" s="4">
        <v>24</v>
      </c>
      <c r="D140" s="26">
        <v>4739363</v>
      </c>
      <c r="E140" s="6" t="str">
        <f t="shared" si="2"/>
        <v>Medium</v>
      </c>
    </row>
    <row r="141" spans="1:5" x14ac:dyDescent="0.25">
      <c r="A141" s="4" t="s">
        <v>661</v>
      </c>
      <c r="B141" s="4" t="s">
        <v>29</v>
      </c>
      <c r="C141" s="4">
        <v>25</v>
      </c>
      <c r="D141" s="26">
        <v>4739363</v>
      </c>
      <c r="E141" s="6" t="str">
        <f t="shared" si="2"/>
        <v>Medium</v>
      </c>
    </row>
    <row r="142" spans="1:5" x14ac:dyDescent="0.25">
      <c r="A142" s="4" t="s">
        <v>356</v>
      </c>
      <c r="B142" s="4" t="s">
        <v>219</v>
      </c>
      <c r="C142" s="4">
        <v>24</v>
      </c>
      <c r="D142" s="26">
        <v>4739363</v>
      </c>
      <c r="E142" s="6" t="str">
        <f t="shared" si="2"/>
        <v>Medium</v>
      </c>
    </row>
    <row r="143" spans="1:5" x14ac:dyDescent="0.25">
      <c r="A143" s="4" t="s">
        <v>207</v>
      </c>
      <c r="B143" s="4" t="s">
        <v>148</v>
      </c>
      <c r="C143" s="4">
        <v>28</v>
      </c>
      <c r="D143" s="26">
        <v>4739363</v>
      </c>
      <c r="E143" s="6" t="str">
        <f t="shared" si="2"/>
        <v>Medium</v>
      </c>
    </row>
    <row r="144" spans="1:5" x14ac:dyDescent="0.25">
      <c r="A144" s="4" t="s">
        <v>237</v>
      </c>
      <c r="B144" s="4" t="s">
        <v>133</v>
      </c>
      <c r="C144" s="4">
        <v>25</v>
      </c>
      <c r="D144" s="26">
        <v>4739363</v>
      </c>
      <c r="E144" s="6" t="str">
        <f t="shared" si="2"/>
        <v>Medium</v>
      </c>
    </row>
    <row r="145" spans="1:5" x14ac:dyDescent="0.25">
      <c r="A145" s="4" t="s">
        <v>201</v>
      </c>
      <c r="B145" s="4" t="s">
        <v>29</v>
      </c>
      <c r="C145" s="4">
        <v>27</v>
      </c>
      <c r="D145" s="26">
        <v>4569232</v>
      </c>
      <c r="E145" s="6" t="str">
        <f t="shared" si="2"/>
        <v>Medium</v>
      </c>
    </row>
    <row r="146" spans="1:5" x14ac:dyDescent="0.25">
      <c r="A146" s="4" t="s">
        <v>44</v>
      </c>
      <c r="B146" s="4" t="s">
        <v>29</v>
      </c>
      <c r="C146" s="4">
        <v>33</v>
      </c>
      <c r="D146" s="26">
        <v>4423405</v>
      </c>
      <c r="E146" s="6" t="str">
        <f t="shared" si="2"/>
        <v>Medium</v>
      </c>
    </row>
    <row r="147" spans="1:5" x14ac:dyDescent="0.25">
      <c r="A147" s="4" t="s">
        <v>519</v>
      </c>
      <c r="B147" s="4" t="s">
        <v>32</v>
      </c>
      <c r="C147" s="4">
        <v>25</v>
      </c>
      <c r="D147" s="26">
        <v>4423405</v>
      </c>
      <c r="E147" s="6" t="str">
        <f t="shared" si="2"/>
        <v>Medium</v>
      </c>
    </row>
    <row r="148" spans="1:5" x14ac:dyDescent="0.25">
      <c r="A148" s="4" t="s">
        <v>366</v>
      </c>
      <c r="B148" s="4" t="s">
        <v>276</v>
      </c>
      <c r="C148" s="4">
        <v>33</v>
      </c>
      <c r="D148" s="26">
        <v>4423405</v>
      </c>
      <c r="E148" s="6" t="str">
        <f t="shared" si="2"/>
        <v>Medium</v>
      </c>
    </row>
    <row r="149" spans="1:5" x14ac:dyDescent="0.25">
      <c r="A149" s="4" t="s">
        <v>517</v>
      </c>
      <c r="B149" s="4" t="s">
        <v>32</v>
      </c>
      <c r="C149" s="4">
        <v>28</v>
      </c>
      <c r="D149" s="26">
        <v>4423405</v>
      </c>
      <c r="E149" s="6" t="str">
        <f t="shared" si="2"/>
        <v>Medium</v>
      </c>
    </row>
    <row r="150" spans="1:5" x14ac:dyDescent="0.25">
      <c r="A150" s="4" t="s">
        <v>585</v>
      </c>
      <c r="B150" s="4" t="s">
        <v>376</v>
      </c>
      <c r="C150" s="4">
        <v>31</v>
      </c>
      <c r="D150" s="26">
        <v>4423405</v>
      </c>
      <c r="E150" s="6" t="str">
        <f t="shared" si="2"/>
        <v>Medium</v>
      </c>
    </row>
    <row r="151" spans="1:5" x14ac:dyDescent="0.25">
      <c r="A151" s="4" t="s">
        <v>572</v>
      </c>
      <c r="B151" s="4" t="s">
        <v>298</v>
      </c>
      <c r="C151" s="4">
        <v>23</v>
      </c>
      <c r="D151" s="26">
        <v>4423405</v>
      </c>
      <c r="E151" s="6" t="str">
        <f t="shared" si="2"/>
        <v>Medium</v>
      </c>
    </row>
    <row r="152" spans="1:5" x14ac:dyDescent="0.25">
      <c r="A152" s="4" t="s">
        <v>835</v>
      </c>
      <c r="B152" s="4" t="s">
        <v>666</v>
      </c>
      <c r="C152" s="4">
        <v>33</v>
      </c>
      <c r="D152" s="26">
        <v>4423405</v>
      </c>
      <c r="E152" s="6" t="str">
        <f t="shared" si="2"/>
        <v>Medium</v>
      </c>
    </row>
    <row r="153" spans="1:5" x14ac:dyDescent="0.25">
      <c r="A153" s="4" t="s">
        <v>294</v>
      </c>
      <c r="B153" s="4" t="s">
        <v>17</v>
      </c>
      <c r="C153" s="4">
        <v>22</v>
      </c>
      <c r="D153" s="26">
        <v>4423405</v>
      </c>
      <c r="E153" s="6" t="str">
        <f t="shared" si="2"/>
        <v>Medium</v>
      </c>
    </row>
    <row r="154" spans="1:5" x14ac:dyDescent="0.25">
      <c r="A154" s="4" t="s">
        <v>371</v>
      </c>
      <c r="B154" s="4" t="s">
        <v>83</v>
      </c>
      <c r="C154" s="4">
        <v>27</v>
      </c>
      <c r="D154" s="26">
        <v>4423405</v>
      </c>
      <c r="E154" s="6" t="str">
        <f t="shared" si="2"/>
        <v>Medium</v>
      </c>
    </row>
    <row r="155" spans="1:5" x14ac:dyDescent="0.25">
      <c r="A155" s="4" t="s">
        <v>407</v>
      </c>
      <c r="B155" s="4" t="s">
        <v>29</v>
      </c>
      <c r="C155" s="4">
        <v>29</v>
      </c>
      <c r="D155" s="26">
        <v>4423405</v>
      </c>
      <c r="E155" s="6" t="str">
        <f t="shared" si="2"/>
        <v>Medium</v>
      </c>
    </row>
    <row r="156" spans="1:5" x14ac:dyDescent="0.25">
      <c r="A156" s="4" t="s">
        <v>118</v>
      </c>
      <c r="B156" s="4" t="s">
        <v>14</v>
      </c>
      <c r="C156" s="4">
        <v>30</v>
      </c>
      <c r="D156" s="26">
        <v>4423405</v>
      </c>
      <c r="E156" s="6" t="str">
        <f t="shared" si="2"/>
        <v>Medium</v>
      </c>
    </row>
    <row r="157" spans="1:5" x14ac:dyDescent="0.25">
      <c r="A157" s="4" t="s">
        <v>178</v>
      </c>
      <c r="B157" s="4" t="s">
        <v>55</v>
      </c>
      <c r="C157" s="4">
        <v>32</v>
      </c>
      <c r="D157" s="26">
        <v>4423405</v>
      </c>
      <c r="E157" s="6" t="str">
        <f t="shared" si="2"/>
        <v>Medium</v>
      </c>
    </row>
    <row r="158" spans="1:5" x14ac:dyDescent="0.25">
      <c r="A158" s="4" t="s">
        <v>494</v>
      </c>
      <c r="B158" s="4" t="s">
        <v>20</v>
      </c>
      <c r="C158" s="4">
        <v>25</v>
      </c>
      <c r="D158" s="26">
        <v>4253274</v>
      </c>
      <c r="E158" s="6" t="str">
        <f t="shared" si="2"/>
        <v>Medium</v>
      </c>
    </row>
    <row r="159" spans="1:5" x14ac:dyDescent="0.25">
      <c r="A159" s="4" t="s">
        <v>415</v>
      </c>
      <c r="B159" s="4" t="s">
        <v>185</v>
      </c>
      <c r="C159" s="4">
        <v>26</v>
      </c>
      <c r="D159" s="26">
        <v>4253274</v>
      </c>
      <c r="E159" s="6" t="str">
        <f t="shared" si="2"/>
        <v>Medium</v>
      </c>
    </row>
    <row r="160" spans="1:5" x14ac:dyDescent="0.25">
      <c r="A160" s="4" t="s">
        <v>203</v>
      </c>
      <c r="B160" s="4" t="s">
        <v>17</v>
      </c>
      <c r="C160" s="4">
        <v>24</v>
      </c>
      <c r="D160" s="26">
        <v>4228970</v>
      </c>
      <c r="E160" s="6" t="str">
        <f t="shared" si="2"/>
        <v>Medium</v>
      </c>
    </row>
    <row r="161" spans="1:5" x14ac:dyDescent="0.25">
      <c r="A161" s="4" t="s">
        <v>205</v>
      </c>
      <c r="B161" s="4" t="s">
        <v>55</v>
      </c>
      <c r="C161" s="4">
        <v>29</v>
      </c>
      <c r="D161" s="26">
        <v>4131752</v>
      </c>
      <c r="E161" s="6" t="str">
        <f t="shared" si="2"/>
        <v>Medium</v>
      </c>
    </row>
    <row r="162" spans="1:5" x14ac:dyDescent="0.25">
      <c r="A162" s="4" t="s">
        <v>475</v>
      </c>
      <c r="B162" s="4" t="s">
        <v>376</v>
      </c>
      <c r="C162" s="4">
        <v>23</v>
      </c>
      <c r="D162" s="26">
        <v>4131752</v>
      </c>
      <c r="E162" s="6" t="str">
        <f t="shared" si="2"/>
        <v>Medium</v>
      </c>
    </row>
    <row r="163" spans="1:5" x14ac:dyDescent="0.25">
      <c r="A163" s="4" t="s">
        <v>446</v>
      </c>
      <c r="B163" s="4" t="s">
        <v>67</v>
      </c>
      <c r="C163" s="4">
        <v>28</v>
      </c>
      <c r="D163" s="26">
        <v>4119600</v>
      </c>
      <c r="E163" s="6" t="str">
        <f t="shared" si="2"/>
        <v>Medium</v>
      </c>
    </row>
    <row r="164" spans="1:5" x14ac:dyDescent="0.25">
      <c r="A164" s="4" t="s">
        <v>455</v>
      </c>
      <c r="B164" s="4" t="s">
        <v>29</v>
      </c>
      <c r="C164" s="4">
        <v>20</v>
      </c>
      <c r="D164" s="26">
        <v>4107448</v>
      </c>
      <c r="E164" s="6" t="str">
        <f t="shared" si="2"/>
        <v>Medium</v>
      </c>
    </row>
    <row r="165" spans="1:5" x14ac:dyDescent="0.25">
      <c r="A165" s="4" t="s">
        <v>389</v>
      </c>
      <c r="B165" s="4" t="s">
        <v>20</v>
      </c>
      <c r="C165" s="4">
        <v>29</v>
      </c>
      <c r="D165" s="26">
        <v>4107448</v>
      </c>
      <c r="E165" s="6" t="str">
        <f t="shared" si="2"/>
        <v>Medium</v>
      </c>
    </row>
    <row r="166" spans="1:5" x14ac:dyDescent="0.25">
      <c r="A166" s="4" t="s">
        <v>396</v>
      </c>
      <c r="B166" s="4" t="s">
        <v>122</v>
      </c>
      <c r="C166" s="4">
        <v>25</v>
      </c>
      <c r="D166" s="26">
        <v>4107448</v>
      </c>
      <c r="E166" s="6" t="str">
        <f t="shared" si="2"/>
        <v>Medium</v>
      </c>
    </row>
    <row r="167" spans="1:5" x14ac:dyDescent="0.25">
      <c r="A167" s="4" t="s">
        <v>296</v>
      </c>
      <c r="B167" s="4" t="s">
        <v>72</v>
      </c>
      <c r="C167" s="4">
        <v>31</v>
      </c>
      <c r="D167" s="26">
        <v>4107448</v>
      </c>
      <c r="E167" s="6" t="str">
        <f t="shared" si="2"/>
        <v>Medium</v>
      </c>
    </row>
    <row r="168" spans="1:5" x14ac:dyDescent="0.25">
      <c r="A168" s="4" t="s">
        <v>40</v>
      </c>
      <c r="B168" s="4" t="s">
        <v>41</v>
      </c>
      <c r="C168" s="4">
        <v>36</v>
      </c>
      <c r="D168" s="26">
        <v>4107448</v>
      </c>
      <c r="E168" s="6" t="str">
        <f t="shared" si="2"/>
        <v>Medium</v>
      </c>
    </row>
    <row r="169" spans="1:5" x14ac:dyDescent="0.25">
      <c r="A169" s="4" t="s">
        <v>160</v>
      </c>
      <c r="B169" s="4" t="s">
        <v>41</v>
      </c>
      <c r="C169" s="4">
        <v>23</v>
      </c>
      <c r="D169" s="26">
        <v>4107448</v>
      </c>
      <c r="E169" s="6" t="str">
        <f t="shared" si="2"/>
        <v>Medium</v>
      </c>
    </row>
    <row r="170" spans="1:5" x14ac:dyDescent="0.25">
      <c r="A170" s="4" t="s">
        <v>38</v>
      </c>
      <c r="B170" s="4" t="s">
        <v>14</v>
      </c>
      <c r="C170" s="4">
        <v>27</v>
      </c>
      <c r="D170" s="26">
        <v>4107448</v>
      </c>
      <c r="E170" s="6" t="str">
        <f t="shared" si="2"/>
        <v>Medium</v>
      </c>
    </row>
    <row r="171" spans="1:5" x14ac:dyDescent="0.25">
      <c r="A171" s="4" t="s">
        <v>285</v>
      </c>
      <c r="B171" s="4" t="s">
        <v>29</v>
      </c>
      <c r="C171" s="4">
        <v>28</v>
      </c>
      <c r="D171" s="26">
        <v>4107448</v>
      </c>
      <c r="E171" s="6" t="str">
        <f t="shared" si="2"/>
        <v>Medium</v>
      </c>
    </row>
    <row r="172" spans="1:5" x14ac:dyDescent="0.25">
      <c r="A172" s="4" t="s">
        <v>792</v>
      </c>
      <c r="B172" s="4" t="s">
        <v>29</v>
      </c>
      <c r="C172" s="4">
        <v>24</v>
      </c>
      <c r="D172" s="26">
        <v>4083143</v>
      </c>
      <c r="E172" s="6" t="str">
        <f t="shared" si="2"/>
        <v>Medium</v>
      </c>
    </row>
    <row r="173" spans="1:5" x14ac:dyDescent="0.25">
      <c r="A173" s="4" t="s">
        <v>543</v>
      </c>
      <c r="B173" s="4" t="s">
        <v>14</v>
      </c>
      <c r="C173" s="4">
        <v>24</v>
      </c>
      <c r="D173" s="26">
        <v>4010230</v>
      </c>
      <c r="E173" s="6" t="str">
        <f t="shared" si="2"/>
        <v>Medium</v>
      </c>
    </row>
    <row r="174" spans="1:5" x14ac:dyDescent="0.25">
      <c r="A174" s="4" t="s">
        <v>558</v>
      </c>
      <c r="B174" s="4" t="s">
        <v>72</v>
      </c>
      <c r="C174" s="4">
        <v>23</v>
      </c>
      <c r="D174" s="26">
        <v>3985926</v>
      </c>
      <c r="E174" s="6" t="str">
        <f t="shared" si="2"/>
        <v>Medium</v>
      </c>
    </row>
    <row r="175" spans="1:5" x14ac:dyDescent="0.25">
      <c r="A175" s="4" t="s">
        <v>161</v>
      </c>
      <c r="B175" s="4" t="s">
        <v>162</v>
      </c>
      <c r="C175" s="4">
        <v>25</v>
      </c>
      <c r="D175" s="26">
        <v>3985926</v>
      </c>
      <c r="E175" s="6" t="str">
        <f t="shared" si="2"/>
        <v>Medium</v>
      </c>
    </row>
    <row r="176" spans="1:5" x14ac:dyDescent="0.25">
      <c r="A176" s="4" t="s">
        <v>601</v>
      </c>
      <c r="B176" s="4" t="s">
        <v>530</v>
      </c>
      <c r="C176" s="4">
        <v>22</v>
      </c>
      <c r="D176" s="26">
        <v>3925164</v>
      </c>
      <c r="E176" s="6" t="str">
        <f t="shared" si="2"/>
        <v>Medium</v>
      </c>
    </row>
    <row r="177" spans="1:5" x14ac:dyDescent="0.25">
      <c r="A177" s="4" t="s">
        <v>78</v>
      </c>
      <c r="B177" s="4" t="s">
        <v>29</v>
      </c>
      <c r="C177" s="4">
        <v>23</v>
      </c>
      <c r="D177" s="26">
        <v>3913012</v>
      </c>
      <c r="E177" s="6" t="str">
        <f t="shared" si="2"/>
        <v>Medium</v>
      </c>
    </row>
    <row r="178" spans="1:5" x14ac:dyDescent="0.25">
      <c r="A178" s="4" t="s">
        <v>339</v>
      </c>
      <c r="B178" s="4" t="s">
        <v>127</v>
      </c>
      <c r="C178" s="4">
        <v>24</v>
      </c>
      <c r="D178" s="26">
        <v>3791490</v>
      </c>
      <c r="E178" s="6" t="str">
        <f t="shared" si="2"/>
        <v>Medium</v>
      </c>
    </row>
    <row r="179" spans="1:5" x14ac:dyDescent="0.25">
      <c r="A179" s="4" t="s">
        <v>390</v>
      </c>
      <c r="B179" s="4" t="s">
        <v>29</v>
      </c>
      <c r="C179" s="4">
        <v>31</v>
      </c>
      <c r="D179" s="26">
        <v>3791490</v>
      </c>
      <c r="E179" s="6" t="str">
        <f t="shared" si="2"/>
        <v>Medium</v>
      </c>
    </row>
    <row r="180" spans="1:5" x14ac:dyDescent="0.25">
      <c r="A180" s="4" t="s">
        <v>492</v>
      </c>
      <c r="B180" s="4" t="s">
        <v>57</v>
      </c>
      <c r="C180" s="4">
        <v>26</v>
      </c>
      <c r="D180" s="26">
        <v>3791490</v>
      </c>
      <c r="E180" s="6" t="str">
        <f t="shared" si="2"/>
        <v>Medium</v>
      </c>
    </row>
    <row r="181" spans="1:5" x14ac:dyDescent="0.25">
      <c r="A181" s="4" t="s">
        <v>547</v>
      </c>
      <c r="B181" s="4" t="s">
        <v>29</v>
      </c>
      <c r="C181" s="4">
        <v>27</v>
      </c>
      <c r="D181" s="26">
        <v>3791490</v>
      </c>
      <c r="E181" s="6" t="str">
        <f t="shared" si="2"/>
        <v>Medium</v>
      </c>
    </row>
    <row r="182" spans="1:5" x14ac:dyDescent="0.25">
      <c r="A182" s="4" t="s">
        <v>626</v>
      </c>
      <c r="B182" s="4" t="s">
        <v>55</v>
      </c>
      <c r="C182" s="4">
        <v>34</v>
      </c>
      <c r="D182" s="26">
        <v>3791490</v>
      </c>
      <c r="E182" s="6" t="str">
        <f t="shared" si="2"/>
        <v>Medium</v>
      </c>
    </row>
    <row r="183" spans="1:5" x14ac:dyDescent="0.25">
      <c r="A183" s="4" t="s">
        <v>192</v>
      </c>
      <c r="B183" s="4" t="s">
        <v>52</v>
      </c>
      <c r="C183" s="4">
        <v>28</v>
      </c>
      <c r="D183" s="26">
        <v>3791490</v>
      </c>
      <c r="E183" s="6" t="str">
        <f t="shared" si="2"/>
        <v>Medium</v>
      </c>
    </row>
    <row r="184" spans="1:5" x14ac:dyDescent="0.25">
      <c r="A184" s="4" t="s">
        <v>641</v>
      </c>
      <c r="B184" s="4" t="s">
        <v>162</v>
      </c>
      <c r="C184" s="4">
        <v>26</v>
      </c>
      <c r="D184" s="26">
        <v>3791490</v>
      </c>
      <c r="E184" s="6" t="str">
        <f t="shared" si="2"/>
        <v>Medium</v>
      </c>
    </row>
    <row r="185" spans="1:5" x14ac:dyDescent="0.25">
      <c r="A185" s="4" t="s">
        <v>439</v>
      </c>
      <c r="B185" s="4" t="s">
        <v>241</v>
      </c>
      <c r="C185" s="4">
        <v>25</v>
      </c>
      <c r="D185" s="26">
        <v>3791490</v>
      </c>
      <c r="E185" s="6" t="str">
        <f t="shared" si="2"/>
        <v>Medium</v>
      </c>
    </row>
    <row r="186" spans="1:5" x14ac:dyDescent="0.25">
      <c r="A186" s="4" t="s">
        <v>539</v>
      </c>
      <c r="B186" s="4" t="s">
        <v>83</v>
      </c>
      <c r="C186" s="4">
        <v>25</v>
      </c>
      <c r="D186" s="26">
        <v>3791490</v>
      </c>
      <c r="E186" s="6" t="str">
        <f t="shared" si="2"/>
        <v>Medium</v>
      </c>
    </row>
    <row r="187" spans="1:5" x14ac:dyDescent="0.25">
      <c r="A187" s="4" t="s">
        <v>615</v>
      </c>
      <c r="B187" s="4" t="s">
        <v>219</v>
      </c>
      <c r="C187" s="4">
        <v>24</v>
      </c>
      <c r="D187" s="26">
        <v>3791490</v>
      </c>
      <c r="E187" s="6" t="str">
        <f t="shared" si="2"/>
        <v>Medium</v>
      </c>
    </row>
    <row r="188" spans="1:5" x14ac:dyDescent="0.25">
      <c r="A188" s="4" t="s">
        <v>313</v>
      </c>
      <c r="B188" s="4" t="s">
        <v>29</v>
      </c>
      <c r="C188" s="4">
        <v>25</v>
      </c>
      <c r="D188" s="26">
        <v>3791490</v>
      </c>
      <c r="E188" s="6" t="str">
        <f t="shared" si="2"/>
        <v>Medium</v>
      </c>
    </row>
    <row r="189" spans="1:5" x14ac:dyDescent="0.25">
      <c r="A189" s="4" t="s">
        <v>656</v>
      </c>
      <c r="B189" s="4" t="s">
        <v>279</v>
      </c>
      <c r="C189" s="4">
        <v>30</v>
      </c>
      <c r="D189" s="26">
        <v>3791490</v>
      </c>
      <c r="E189" s="6" t="str">
        <f t="shared" si="2"/>
        <v>Medium</v>
      </c>
    </row>
    <row r="190" spans="1:5" x14ac:dyDescent="0.25">
      <c r="A190" s="4" t="s">
        <v>675</v>
      </c>
      <c r="B190" s="4" t="s">
        <v>20</v>
      </c>
      <c r="C190" s="4">
        <v>34</v>
      </c>
      <c r="D190" s="26">
        <v>3669968</v>
      </c>
      <c r="E190" s="6" t="str">
        <f t="shared" si="2"/>
        <v>Medium</v>
      </c>
    </row>
    <row r="191" spans="1:5" x14ac:dyDescent="0.25">
      <c r="A191" s="4" t="s">
        <v>267</v>
      </c>
      <c r="B191" s="4" t="s">
        <v>29</v>
      </c>
      <c r="C191" s="4">
        <v>21</v>
      </c>
      <c r="D191" s="26">
        <v>3669968</v>
      </c>
      <c r="E191" s="6" t="str">
        <f t="shared" si="2"/>
        <v>Medium</v>
      </c>
    </row>
    <row r="192" spans="1:5" x14ac:dyDescent="0.25">
      <c r="A192" s="4" t="s">
        <v>404</v>
      </c>
      <c r="B192" s="4" t="s">
        <v>29</v>
      </c>
      <c r="C192" s="4">
        <v>21</v>
      </c>
      <c r="D192" s="26">
        <v>3645664</v>
      </c>
      <c r="E192" s="6" t="str">
        <f t="shared" si="2"/>
        <v>Medium</v>
      </c>
    </row>
    <row r="193" spans="1:5" x14ac:dyDescent="0.25">
      <c r="A193" s="4" t="s">
        <v>551</v>
      </c>
      <c r="B193" s="4" t="s">
        <v>20</v>
      </c>
      <c r="C193" s="4">
        <v>30</v>
      </c>
      <c r="D193" s="26">
        <v>3645664</v>
      </c>
      <c r="E193" s="6" t="str">
        <f t="shared" si="2"/>
        <v>Medium</v>
      </c>
    </row>
    <row r="194" spans="1:5" x14ac:dyDescent="0.25">
      <c r="A194" s="4" t="s">
        <v>299</v>
      </c>
      <c r="B194" s="4" t="s">
        <v>75</v>
      </c>
      <c r="C194" s="4">
        <v>26</v>
      </c>
      <c r="D194" s="26">
        <v>3645664</v>
      </c>
      <c r="E194" s="6" t="str">
        <f t="shared" si="2"/>
        <v>Medium</v>
      </c>
    </row>
    <row r="195" spans="1:5" x14ac:dyDescent="0.25">
      <c r="A195" s="4" t="s">
        <v>605</v>
      </c>
      <c r="B195" s="4" t="s">
        <v>122</v>
      </c>
      <c r="C195" s="4">
        <v>24</v>
      </c>
      <c r="D195" s="26">
        <v>3538724</v>
      </c>
      <c r="E195" s="6" t="str">
        <f t="shared" ref="E195:E258" si="3">VLOOKUP(D195,$G$14:$I$18,3,1)</f>
        <v>Medium</v>
      </c>
    </row>
    <row r="196" spans="1:5" x14ac:dyDescent="0.25">
      <c r="A196" s="4" t="s">
        <v>433</v>
      </c>
      <c r="B196" s="4" t="s">
        <v>434</v>
      </c>
      <c r="C196" s="4">
        <v>22</v>
      </c>
      <c r="D196" s="26">
        <v>3536294</v>
      </c>
      <c r="E196" s="6" t="str">
        <f t="shared" si="3"/>
        <v>Medium</v>
      </c>
    </row>
    <row r="197" spans="1:5" x14ac:dyDescent="0.25">
      <c r="A197" s="4" t="s">
        <v>559</v>
      </c>
      <c r="B197" s="4" t="s">
        <v>124</v>
      </c>
      <c r="C197" s="4">
        <v>28</v>
      </c>
      <c r="D197" s="26">
        <v>3536294</v>
      </c>
      <c r="E197" s="6" t="str">
        <f t="shared" si="3"/>
        <v>Medium</v>
      </c>
    </row>
    <row r="198" spans="1:5" x14ac:dyDescent="0.25">
      <c r="A198" s="4" t="s">
        <v>199</v>
      </c>
      <c r="B198" s="4" t="s">
        <v>17</v>
      </c>
      <c r="C198" s="4">
        <v>22</v>
      </c>
      <c r="D198" s="26">
        <v>3475533</v>
      </c>
      <c r="E198" s="6" t="str">
        <f t="shared" si="3"/>
        <v>Medium</v>
      </c>
    </row>
    <row r="199" spans="1:5" x14ac:dyDescent="0.25">
      <c r="A199" s="4" t="s">
        <v>204</v>
      </c>
      <c r="B199" s="4" t="s">
        <v>148</v>
      </c>
      <c r="C199" s="4">
        <v>23</v>
      </c>
      <c r="D199" s="26">
        <v>3475533</v>
      </c>
      <c r="E199" s="6" t="str">
        <f t="shared" si="3"/>
        <v>Medium</v>
      </c>
    </row>
    <row r="200" spans="1:5" x14ac:dyDescent="0.25">
      <c r="A200" s="4" t="s">
        <v>381</v>
      </c>
      <c r="B200" s="4" t="s">
        <v>60</v>
      </c>
      <c r="C200" s="4">
        <v>24</v>
      </c>
      <c r="D200" s="26">
        <v>3475533</v>
      </c>
      <c r="E200" s="6" t="str">
        <f t="shared" si="3"/>
        <v>Medium</v>
      </c>
    </row>
    <row r="201" spans="1:5" x14ac:dyDescent="0.25">
      <c r="A201" s="4" t="s">
        <v>334</v>
      </c>
      <c r="B201" s="4" t="s">
        <v>127</v>
      </c>
      <c r="C201" s="4">
        <v>33</v>
      </c>
      <c r="D201" s="26">
        <v>3475533</v>
      </c>
      <c r="E201" s="6" t="str">
        <f t="shared" si="3"/>
        <v>Medium</v>
      </c>
    </row>
    <row r="202" spans="1:5" x14ac:dyDescent="0.25">
      <c r="A202" s="4" t="s">
        <v>343</v>
      </c>
      <c r="B202" s="4" t="s">
        <v>331</v>
      </c>
      <c r="C202" s="4">
        <v>30</v>
      </c>
      <c r="D202" s="26">
        <v>3475533</v>
      </c>
      <c r="E202" s="6" t="str">
        <f t="shared" si="3"/>
        <v>Medium</v>
      </c>
    </row>
    <row r="203" spans="1:5" x14ac:dyDescent="0.25">
      <c r="A203" s="4" t="s">
        <v>340</v>
      </c>
      <c r="B203" s="4" t="s">
        <v>29</v>
      </c>
      <c r="C203" s="4">
        <v>31</v>
      </c>
      <c r="D203" s="26">
        <v>3475533</v>
      </c>
      <c r="E203" s="6" t="str">
        <f t="shared" si="3"/>
        <v>Medium</v>
      </c>
    </row>
    <row r="204" spans="1:5" x14ac:dyDescent="0.25">
      <c r="A204" s="4" t="s">
        <v>342</v>
      </c>
      <c r="B204" s="4" t="s">
        <v>72</v>
      </c>
      <c r="C204" s="4">
        <v>29</v>
      </c>
      <c r="D204" s="26">
        <v>3475533</v>
      </c>
      <c r="E204" s="6" t="str">
        <f t="shared" si="3"/>
        <v>Medium</v>
      </c>
    </row>
    <row r="205" spans="1:5" x14ac:dyDescent="0.25">
      <c r="A205" s="4" t="s">
        <v>663</v>
      </c>
      <c r="B205" s="4" t="s">
        <v>29</v>
      </c>
      <c r="C205" s="4">
        <v>30</v>
      </c>
      <c r="D205" s="26">
        <v>3475533</v>
      </c>
      <c r="E205" s="6" t="str">
        <f t="shared" si="3"/>
        <v>Medium</v>
      </c>
    </row>
    <row r="206" spans="1:5" x14ac:dyDescent="0.25">
      <c r="A206" s="4" t="s">
        <v>264</v>
      </c>
      <c r="B206" s="4" t="s">
        <v>29</v>
      </c>
      <c r="C206" s="4">
        <v>26</v>
      </c>
      <c r="D206" s="26">
        <v>3402619</v>
      </c>
      <c r="E206" s="6" t="str">
        <f t="shared" si="3"/>
        <v>Medium</v>
      </c>
    </row>
    <row r="207" spans="1:5" x14ac:dyDescent="0.25">
      <c r="A207" s="4" t="s">
        <v>631</v>
      </c>
      <c r="B207" s="4" t="s">
        <v>17</v>
      </c>
      <c r="C207" s="4">
        <v>24</v>
      </c>
      <c r="D207" s="26">
        <v>3378315</v>
      </c>
      <c r="E207" s="6" t="str">
        <f t="shared" si="3"/>
        <v>Medium</v>
      </c>
    </row>
    <row r="208" spans="1:5" x14ac:dyDescent="0.25">
      <c r="A208" s="4" t="s">
        <v>379</v>
      </c>
      <c r="B208" s="4" t="s">
        <v>20</v>
      </c>
      <c r="C208" s="4">
        <v>24</v>
      </c>
      <c r="D208" s="26">
        <v>3349150</v>
      </c>
      <c r="E208" s="6" t="str">
        <f t="shared" si="3"/>
        <v>Medium</v>
      </c>
    </row>
    <row r="209" spans="1:5" x14ac:dyDescent="0.25">
      <c r="A209" s="4" t="s">
        <v>658</v>
      </c>
      <c r="B209" s="4" t="s">
        <v>215</v>
      </c>
      <c r="C209" s="4">
        <v>26</v>
      </c>
      <c r="D209" s="26">
        <v>3317554</v>
      </c>
      <c r="E209" s="6" t="str">
        <f t="shared" si="3"/>
        <v>Medium</v>
      </c>
    </row>
    <row r="210" spans="1:5" x14ac:dyDescent="0.25">
      <c r="A210" s="4" t="s">
        <v>395</v>
      </c>
      <c r="B210" s="4" t="s">
        <v>162</v>
      </c>
      <c r="C210" s="4">
        <v>21</v>
      </c>
      <c r="D210" s="26">
        <v>3281097</v>
      </c>
      <c r="E210" s="6" t="str">
        <f t="shared" si="3"/>
        <v>Medium</v>
      </c>
    </row>
    <row r="211" spans="1:5" x14ac:dyDescent="0.25">
      <c r="A211" s="4" t="s">
        <v>71</v>
      </c>
      <c r="B211" s="4" t="s">
        <v>72</v>
      </c>
      <c r="C211" s="4">
        <v>29</v>
      </c>
      <c r="D211" s="26">
        <v>3281097</v>
      </c>
      <c r="E211" s="6" t="str">
        <f t="shared" si="3"/>
        <v>Medium</v>
      </c>
    </row>
    <row r="212" spans="1:5" x14ac:dyDescent="0.25">
      <c r="A212" s="4" t="s">
        <v>251</v>
      </c>
      <c r="B212" s="4" t="s">
        <v>29</v>
      </c>
      <c r="C212" s="4">
        <v>21</v>
      </c>
      <c r="D212" s="26">
        <v>3171727</v>
      </c>
      <c r="E212" s="6" t="str">
        <f t="shared" si="3"/>
        <v>Medium</v>
      </c>
    </row>
    <row r="213" spans="1:5" x14ac:dyDescent="0.25">
      <c r="A213" s="4" t="s">
        <v>167</v>
      </c>
      <c r="B213" s="4" t="s">
        <v>29</v>
      </c>
      <c r="C213" s="4">
        <v>26</v>
      </c>
      <c r="D213" s="26">
        <v>3159575</v>
      </c>
      <c r="E213" s="6" t="str">
        <f t="shared" si="3"/>
        <v>Medium</v>
      </c>
    </row>
    <row r="214" spans="1:5" x14ac:dyDescent="0.25">
      <c r="A214" s="4" t="s">
        <v>206</v>
      </c>
      <c r="B214" s="4" t="s">
        <v>14</v>
      </c>
      <c r="C214" s="4">
        <v>23</v>
      </c>
      <c r="D214" s="26">
        <v>3159575</v>
      </c>
      <c r="E214" s="6" t="str">
        <f t="shared" si="3"/>
        <v>Medium</v>
      </c>
    </row>
    <row r="215" spans="1:5" x14ac:dyDescent="0.25">
      <c r="A215" s="4" t="s">
        <v>214</v>
      </c>
      <c r="B215" s="4" t="s">
        <v>215</v>
      </c>
      <c r="C215" s="4">
        <v>29</v>
      </c>
      <c r="D215" s="26">
        <v>3159575</v>
      </c>
      <c r="E215" s="6" t="str">
        <f t="shared" si="3"/>
        <v>Medium</v>
      </c>
    </row>
    <row r="216" spans="1:5" x14ac:dyDescent="0.25">
      <c r="A216" s="4" t="s">
        <v>175</v>
      </c>
      <c r="B216" s="4" t="s">
        <v>29</v>
      </c>
      <c r="C216" s="4">
        <v>31</v>
      </c>
      <c r="D216" s="26">
        <v>3159575</v>
      </c>
      <c r="E216" s="6" t="str">
        <f t="shared" si="3"/>
        <v>Medium</v>
      </c>
    </row>
    <row r="217" spans="1:5" x14ac:dyDescent="0.25">
      <c r="A217" s="4" t="s">
        <v>70</v>
      </c>
      <c r="B217" s="4" t="s">
        <v>29</v>
      </c>
      <c r="C217" s="4">
        <v>31</v>
      </c>
      <c r="D217" s="26">
        <v>3159575</v>
      </c>
      <c r="E217" s="6" t="str">
        <f t="shared" si="3"/>
        <v>Medium</v>
      </c>
    </row>
    <row r="218" spans="1:5" x14ac:dyDescent="0.25">
      <c r="A218" s="4" t="s">
        <v>126</v>
      </c>
      <c r="B218" s="4" t="s">
        <v>127</v>
      </c>
      <c r="C218" s="4">
        <v>29</v>
      </c>
      <c r="D218" s="26">
        <v>3159575</v>
      </c>
      <c r="E218" s="6" t="str">
        <f t="shared" si="3"/>
        <v>Medium</v>
      </c>
    </row>
    <row r="219" spans="1:5" x14ac:dyDescent="0.25">
      <c r="A219" s="4" t="s">
        <v>458</v>
      </c>
      <c r="B219" s="4" t="s">
        <v>29</v>
      </c>
      <c r="C219" s="4">
        <v>25</v>
      </c>
      <c r="D219" s="26">
        <v>3159575</v>
      </c>
      <c r="E219" s="6" t="str">
        <f t="shared" si="3"/>
        <v>Medium</v>
      </c>
    </row>
    <row r="220" spans="1:5" x14ac:dyDescent="0.25">
      <c r="A220" s="4" t="s">
        <v>435</v>
      </c>
      <c r="B220" s="4" t="s">
        <v>29</v>
      </c>
      <c r="C220" s="4">
        <v>32</v>
      </c>
      <c r="D220" s="26">
        <v>3159575</v>
      </c>
      <c r="E220" s="6" t="str">
        <f t="shared" si="3"/>
        <v>Medium</v>
      </c>
    </row>
    <row r="221" spans="1:5" x14ac:dyDescent="0.25">
      <c r="A221" s="4" t="s">
        <v>512</v>
      </c>
      <c r="B221" s="4" t="s">
        <v>52</v>
      </c>
      <c r="C221" s="4">
        <v>23</v>
      </c>
      <c r="D221" s="26">
        <v>3159575</v>
      </c>
      <c r="E221" s="6" t="str">
        <f t="shared" si="3"/>
        <v>Medium</v>
      </c>
    </row>
    <row r="222" spans="1:5" x14ac:dyDescent="0.25">
      <c r="A222" s="4" t="s">
        <v>186</v>
      </c>
      <c r="B222" s="4" t="s">
        <v>29</v>
      </c>
      <c r="C222" s="4">
        <v>31</v>
      </c>
      <c r="D222" s="26">
        <v>3159575</v>
      </c>
      <c r="E222" s="6" t="str">
        <f t="shared" si="3"/>
        <v>Medium</v>
      </c>
    </row>
    <row r="223" spans="1:5" x14ac:dyDescent="0.25">
      <c r="A223" s="4" t="s">
        <v>362</v>
      </c>
      <c r="B223" s="4" t="s">
        <v>29</v>
      </c>
      <c r="C223" s="4">
        <v>34</v>
      </c>
      <c r="D223" s="26">
        <v>3159575</v>
      </c>
      <c r="E223" s="6" t="str">
        <f t="shared" si="3"/>
        <v>Medium</v>
      </c>
    </row>
    <row r="224" spans="1:5" x14ac:dyDescent="0.25">
      <c r="A224" s="4" t="s">
        <v>384</v>
      </c>
      <c r="B224" s="4" t="s">
        <v>127</v>
      </c>
      <c r="C224" s="4">
        <v>27</v>
      </c>
      <c r="D224" s="26">
        <v>3159575</v>
      </c>
      <c r="E224" s="6" t="str">
        <f t="shared" si="3"/>
        <v>Medium</v>
      </c>
    </row>
    <row r="225" spans="1:5" x14ac:dyDescent="0.25">
      <c r="A225" s="4" t="s">
        <v>440</v>
      </c>
      <c r="B225" s="4" t="s">
        <v>29</v>
      </c>
      <c r="C225" s="4">
        <v>23</v>
      </c>
      <c r="D225" s="26">
        <v>3159575</v>
      </c>
      <c r="E225" s="6" t="str">
        <f t="shared" si="3"/>
        <v>Medium</v>
      </c>
    </row>
    <row r="226" spans="1:5" x14ac:dyDescent="0.25">
      <c r="A226" s="4" t="s">
        <v>531</v>
      </c>
      <c r="B226" s="4" t="s">
        <v>83</v>
      </c>
      <c r="C226" s="4">
        <v>21</v>
      </c>
      <c r="D226" s="26">
        <v>3159575</v>
      </c>
      <c r="E226" s="6" t="str">
        <f t="shared" si="3"/>
        <v>Medium</v>
      </c>
    </row>
    <row r="227" spans="1:5" x14ac:dyDescent="0.25">
      <c r="A227" s="4" t="s">
        <v>358</v>
      </c>
      <c r="B227" s="4" t="s">
        <v>83</v>
      </c>
      <c r="C227" s="4">
        <v>24</v>
      </c>
      <c r="D227" s="26">
        <v>3159575</v>
      </c>
      <c r="E227" s="6" t="str">
        <f t="shared" si="3"/>
        <v>Medium</v>
      </c>
    </row>
    <row r="228" spans="1:5" x14ac:dyDescent="0.25">
      <c r="A228" s="4" t="s">
        <v>149</v>
      </c>
      <c r="B228" s="4" t="s">
        <v>133</v>
      </c>
      <c r="C228" s="4">
        <v>30</v>
      </c>
      <c r="D228" s="26">
        <v>3159575</v>
      </c>
      <c r="E228" s="6" t="str">
        <f t="shared" si="3"/>
        <v>Medium</v>
      </c>
    </row>
    <row r="229" spans="1:5" x14ac:dyDescent="0.25">
      <c r="A229" s="4" t="s">
        <v>665</v>
      </c>
      <c r="B229" s="4" t="s">
        <v>666</v>
      </c>
      <c r="C229" s="4">
        <v>29</v>
      </c>
      <c r="D229" s="26">
        <v>3159575</v>
      </c>
      <c r="E229" s="6" t="str">
        <f t="shared" si="3"/>
        <v>Medium</v>
      </c>
    </row>
    <row r="230" spans="1:5" x14ac:dyDescent="0.25">
      <c r="A230" s="4" t="s">
        <v>425</v>
      </c>
      <c r="B230" s="4" t="s">
        <v>29</v>
      </c>
      <c r="C230" s="4">
        <v>28</v>
      </c>
      <c r="D230" s="26">
        <v>3159575</v>
      </c>
      <c r="E230" s="6" t="str">
        <f t="shared" si="3"/>
        <v>Medium</v>
      </c>
    </row>
    <row r="231" spans="1:5" x14ac:dyDescent="0.25">
      <c r="A231" s="4" t="s">
        <v>188</v>
      </c>
      <c r="B231" s="4" t="s">
        <v>20</v>
      </c>
      <c r="C231" s="4">
        <v>23</v>
      </c>
      <c r="D231" s="26">
        <v>3159575</v>
      </c>
      <c r="E231" s="6" t="str">
        <f t="shared" si="3"/>
        <v>Medium</v>
      </c>
    </row>
    <row r="232" spans="1:5" x14ac:dyDescent="0.25">
      <c r="A232" s="4" t="s">
        <v>632</v>
      </c>
      <c r="B232" s="4" t="s">
        <v>17</v>
      </c>
      <c r="C232" s="4">
        <v>24</v>
      </c>
      <c r="D232" s="26">
        <v>3159575</v>
      </c>
      <c r="E232" s="6" t="str">
        <f t="shared" si="3"/>
        <v>Medium</v>
      </c>
    </row>
    <row r="233" spans="1:5" x14ac:dyDescent="0.25">
      <c r="A233" s="4" t="s">
        <v>250</v>
      </c>
      <c r="B233" s="4" t="s">
        <v>62</v>
      </c>
      <c r="C233" s="4">
        <v>30</v>
      </c>
      <c r="D233" s="26">
        <v>3159575</v>
      </c>
      <c r="E233" s="6" t="str">
        <f t="shared" si="3"/>
        <v>Medium</v>
      </c>
    </row>
    <row r="234" spans="1:5" x14ac:dyDescent="0.25">
      <c r="A234" s="4" t="s">
        <v>266</v>
      </c>
      <c r="B234" s="4" t="s">
        <v>219</v>
      </c>
      <c r="C234" s="4">
        <v>25</v>
      </c>
      <c r="D234" s="26">
        <v>3159575</v>
      </c>
      <c r="E234" s="6" t="str">
        <f t="shared" si="3"/>
        <v>Medium</v>
      </c>
    </row>
    <row r="235" spans="1:5" x14ac:dyDescent="0.25">
      <c r="A235" s="4" t="s">
        <v>460</v>
      </c>
      <c r="B235" s="4" t="s">
        <v>29</v>
      </c>
      <c r="C235" s="4">
        <v>36</v>
      </c>
      <c r="D235" s="26">
        <v>3123118</v>
      </c>
      <c r="E235" s="6" t="str">
        <f t="shared" si="3"/>
        <v>Low</v>
      </c>
    </row>
    <row r="236" spans="1:5" x14ac:dyDescent="0.25">
      <c r="A236" s="4" t="s">
        <v>320</v>
      </c>
      <c r="B236" s="4" t="s">
        <v>14</v>
      </c>
      <c r="C236" s="4">
        <v>24</v>
      </c>
      <c r="D236" s="26">
        <v>3038053</v>
      </c>
      <c r="E236" s="6" t="str">
        <f t="shared" si="3"/>
        <v>Low</v>
      </c>
    </row>
    <row r="237" spans="1:5" x14ac:dyDescent="0.25">
      <c r="A237" s="4" t="s">
        <v>397</v>
      </c>
      <c r="B237" s="4" t="s">
        <v>17</v>
      </c>
      <c r="C237" s="4">
        <v>26</v>
      </c>
      <c r="D237" s="26">
        <v>3038053</v>
      </c>
      <c r="E237" s="6" t="str">
        <f t="shared" si="3"/>
        <v>Low</v>
      </c>
    </row>
    <row r="238" spans="1:5" x14ac:dyDescent="0.25">
      <c r="A238" s="4" t="s">
        <v>374</v>
      </c>
      <c r="B238" s="4" t="s">
        <v>60</v>
      </c>
      <c r="C238" s="4">
        <v>32</v>
      </c>
      <c r="D238" s="26">
        <v>3038053</v>
      </c>
      <c r="E238" s="6" t="str">
        <f t="shared" si="3"/>
        <v>Low</v>
      </c>
    </row>
    <row r="239" spans="1:5" x14ac:dyDescent="0.25">
      <c r="A239" s="4" t="s">
        <v>586</v>
      </c>
      <c r="B239" s="4" t="s">
        <v>29</v>
      </c>
      <c r="C239" s="4">
        <v>24</v>
      </c>
      <c r="D239" s="26">
        <v>3025901</v>
      </c>
      <c r="E239" s="6" t="str">
        <f t="shared" si="3"/>
        <v>Low</v>
      </c>
    </row>
    <row r="240" spans="1:5" x14ac:dyDescent="0.25">
      <c r="A240" s="4" t="s">
        <v>419</v>
      </c>
      <c r="B240" s="4" t="s">
        <v>29</v>
      </c>
      <c r="C240" s="4">
        <v>27</v>
      </c>
      <c r="D240" s="26">
        <v>3025901</v>
      </c>
      <c r="E240" s="6" t="str">
        <f t="shared" si="3"/>
        <v>Low</v>
      </c>
    </row>
    <row r="241" spans="1:5" x14ac:dyDescent="0.25">
      <c r="A241" s="4" t="s">
        <v>532</v>
      </c>
      <c r="B241" s="4" t="s">
        <v>17</v>
      </c>
      <c r="C241" s="4">
        <v>19</v>
      </c>
      <c r="D241" s="26">
        <v>3001596</v>
      </c>
      <c r="E241" s="6" t="str">
        <f t="shared" si="3"/>
        <v>Low</v>
      </c>
    </row>
    <row r="242" spans="1:5" x14ac:dyDescent="0.25">
      <c r="A242" s="4" t="s">
        <v>68</v>
      </c>
      <c r="B242" s="4" t="s">
        <v>32</v>
      </c>
      <c r="C242" s="4">
        <v>28</v>
      </c>
      <c r="D242" s="26">
        <v>3001596</v>
      </c>
      <c r="E242" s="6" t="str">
        <f t="shared" si="3"/>
        <v>Low</v>
      </c>
    </row>
    <row r="243" spans="1:5" x14ac:dyDescent="0.25">
      <c r="A243" s="4" t="s">
        <v>226</v>
      </c>
      <c r="B243" s="4" t="s">
        <v>32</v>
      </c>
      <c r="C243" s="4">
        <v>32</v>
      </c>
      <c r="D243" s="26">
        <v>2989444</v>
      </c>
      <c r="E243" s="6" t="str">
        <f t="shared" si="3"/>
        <v>Low</v>
      </c>
    </row>
    <row r="244" spans="1:5" x14ac:dyDescent="0.25">
      <c r="A244" s="4" t="s">
        <v>292</v>
      </c>
      <c r="B244" s="4" t="s">
        <v>62</v>
      </c>
      <c r="C244" s="4">
        <v>25</v>
      </c>
      <c r="D244" s="26">
        <v>2916531</v>
      </c>
      <c r="E244" s="6" t="str">
        <f t="shared" si="3"/>
        <v>Low</v>
      </c>
    </row>
    <row r="245" spans="1:5" x14ac:dyDescent="0.25">
      <c r="A245" s="4" t="s">
        <v>664</v>
      </c>
      <c r="B245" s="4" t="s">
        <v>29</v>
      </c>
      <c r="C245" s="4">
        <v>29</v>
      </c>
      <c r="D245" s="26">
        <v>2916531</v>
      </c>
      <c r="E245" s="6" t="str">
        <f t="shared" si="3"/>
        <v>Low</v>
      </c>
    </row>
    <row r="246" spans="1:5" x14ac:dyDescent="0.25">
      <c r="A246" s="4" t="s">
        <v>655</v>
      </c>
      <c r="B246" s="4" t="s">
        <v>20</v>
      </c>
      <c r="C246" s="4">
        <v>21</v>
      </c>
      <c r="D246" s="26">
        <v>2916531</v>
      </c>
      <c r="E246" s="6" t="str">
        <f t="shared" si="3"/>
        <v>Low</v>
      </c>
    </row>
    <row r="247" spans="1:5" x14ac:dyDescent="0.25">
      <c r="A247" s="4" t="s">
        <v>90</v>
      </c>
      <c r="B247" s="4" t="s">
        <v>91</v>
      </c>
      <c r="C247" s="4">
        <v>26</v>
      </c>
      <c r="D247" s="26">
        <v>2906809</v>
      </c>
      <c r="E247" s="6" t="str">
        <f t="shared" si="3"/>
        <v>Low</v>
      </c>
    </row>
    <row r="248" spans="1:5" x14ac:dyDescent="0.25">
      <c r="A248" s="4" t="s">
        <v>640</v>
      </c>
      <c r="B248" s="4" t="s">
        <v>29</v>
      </c>
      <c r="C248" s="4">
        <v>22</v>
      </c>
      <c r="D248" s="26">
        <v>2843618</v>
      </c>
      <c r="E248" s="6" t="str">
        <f t="shared" si="3"/>
        <v>Low</v>
      </c>
    </row>
    <row r="249" spans="1:5" x14ac:dyDescent="0.25">
      <c r="A249" s="4" t="s">
        <v>451</v>
      </c>
      <c r="B249" s="4" t="s">
        <v>29</v>
      </c>
      <c r="C249" s="4">
        <v>26</v>
      </c>
      <c r="D249" s="26">
        <v>2843618</v>
      </c>
      <c r="E249" s="6" t="str">
        <f t="shared" si="3"/>
        <v>Low</v>
      </c>
    </row>
    <row r="250" spans="1:5" x14ac:dyDescent="0.25">
      <c r="A250" s="4" t="s">
        <v>28</v>
      </c>
      <c r="B250" s="4" t="s">
        <v>29</v>
      </c>
      <c r="C250" s="4">
        <v>28</v>
      </c>
      <c r="D250" s="26">
        <v>2843618</v>
      </c>
      <c r="E250" s="6" t="str">
        <f t="shared" si="3"/>
        <v>Low</v>
      </c>
    </row>
    <row r="251" spans="1:5" x14ac:dyDescent="0.25">
      <c r="A251" s="4" t="s">
        <v>602</v>
      </c>
      <c r="B251" s="4" t="s">
        <v>29</v>
      </c>
      <c r="C251" s="4">
        <v>23</v>
      </c>
      <c r="D251" s="26">
        <v>2843618</v>
      </c>
      <c r="E251" s="6" t="str">
        <f t="shared" si="3"/>
        <v>Low</v>
      </c>
    </row>
    <row r="252" spans="1:5" x14ac:dyDescent="0.25">
      <c r="A252" s="4" t="s">
        <v>537</v>
      </c>
      <c r="B252" s="4" t="s">
        <v>20</v>
      </c>
      <c r="C252" s="4">
        <v>28</v>
      </c>
      <c r="D252" s="26">
        <v>2843618</v>
      </c>
      <c r="E252" s="6" t="str">
        <f t="shared" si="3"/>
        <v>Low</v>
      </c>
    </row>
    <row r="253" spans="1:5" x14ac:dyDescent="0.25">
      <c r="A253" s="4" t="s">
        <v>417</v>
      </c>
      <c r="B253" s="4" t="s">
        <v>279</v>
      </c>
      <c r="C253" s="4">
        <v>25</v>
      </c>
      <c r="D253" s="26">
        <v>2843618</v>
      </c>
      <c r="E253" s="6" t="str">
        <f t="shared" si="3"/>
        <v>Low</v>
      </c>
    </row>
    <row r="254" spans="1:5" x14ac:dyDescent="0.25">
      <c r="A254" s="4" t="s">
        <v>113</v>
      </c>
      <c r="B254" s="4" t="s">
        <v>29</v>
      </c>
      <c r="C254" s="4">
        <v>31</v>
      </c>
      <c r="D254" s="26">
        <v>2843618</v>
      </c>
      <c r="E254" s="6" t="str">
        <f t="shared" si="3"/>
        <v>Low</v>
      </c>
    </row>
    <row r="255" spans="1:5" x14ac:dyDescent="0.25">
      <c r="A255" s="4" t="s">
        <v>382</v>
      </c>
      <c r="B255" s="4" t="s">
        <v>127</v>
      </c>
      <c r="C255" s="4">
        <v>31</v>
      </c>
      <c r="D255" s="26">
        <v>2843618</v>
      </c>
      <c r="E255" s="6" t="str">
        <f t="shared" si="3"/>
        <v>Low</v>
      </c>
    </row>
    <row r="256" spans="1:5" x14ac:dyDescent="0.25">
      <c r="A256" s="4" t="s">
        <v>625</v>
      </c>
      <c r="B256" s="4" t="s">
        <v>60</v>
      </c>
      <c r="C256" s="4">
        <v>27</v>
      </c>
      <c r="D256" s="26">
        <v>2843618</v>
      </c>
      <c r="E256" s="6" t="str">
        <f t="shared" si="3"/>
        <v>Low</v>
      </c>
    </row>
    <row r="257" spans="1:5" x14ac:dyDescent="0.25">
      <c r="A257" s="4" t="s">
        <v>211</v>
      </c>
      <c r="B257" s="4" t="s">
        <v>29</v>
      </c>
      <c r="C257" s="4">
        <v>29</v>
      </c>
      <c r="D257" s="26">
        <v>2843618</v>
      </c>
      <c r="E257" s="6" t="str">
        <f t="shared" si="3"/>
        <v>Low</v>
      </c>
    </row>
    <row r="258" spans="1:5" x14ac:dyDescent="0.25">
      <c r="A258" s="4" t="s">
        <v>145</v>
      </c>
      <c r="B258" s="4" t="s">
        <v>29</v>
      </c>
      <c r="C258" s="4">
        <v>31</v>
      </c>
      <c r="D258" s="26">
        <v>2795009</v>
      </c>
      <c r="E258" s="6" t="str">
        <f t="shared" si="3"/>
        <v>Low</v>
      </c>
    </row>
    <row r="259" spans="1:5" x14ac:dyDescent="0.25">
      <c r="A259" s="4" t="s">
        <v>502</v>
      </c>
      <c r="B259" s="4" t="s">
        <v>29</v>
      </c>
      <c r="C259" s="4">
        <v>25</v>
      </c>
      <c r="D259" s="26">
        <v>2795009</v>
      </c>
      <c r="E259" s="6" t="str">
        <f t="shared" ref="E259:E322" si="4">VLOOKUP(D259,$G$14:$I$18,3,1)</f>
        <v>Low</v>
      </c>
    </row>
    <row r="260" spans="1:5" x14ac:dyDescent="0.25">
      <c r="A260" s="4" t="s">
        <v>243</v>
      </c>
      <c r="B260" s="4" t="s">
        <v>127</v>
      </c>
      <c r="C260" s="4">
        <v>20</v>
      </c>
      <c r="D260" s="26">
        <v>2734248</v>
      </c>
      <c r="E260" s="6" t="str">
        <f t="shared" si="4"/>
        <v>Low</v>
      </c>
    </row>
    <row r="261" spans="1:5" x14ac:dyDescent="0.25">
      <c r="A261" s="4" t="s">
        <v>836</v>
      </c>
      <c r="B261" s="4" t="s">
        <v>29</v>
      </c>
      <c r="C261" s="4">
        <v>26</v>
      </c>
      <c r="D261" s="26">
        <v>2734248</v>
      </c>
      <c r="E261" s="6" t="str">
        <f t="shared" si="4"/>
        <v>Low</v>
      </c>
    </row>
    <row r="262" spans="1:5" x14ac:dyDescent="0.25">
      <c r="A262" s="4" t="s">
        <v>657</v>
      </c>
      <c r="B262" s="4" t="s">
        <v>20</v>
      </c>
      <c r="C262" s="4">
        <v>25</v>
      </c>
      <c r="D262" s="26">
        <v>2722095</v>
      </c>
      <c r="E262" s="6" t="str">
        <f t="shared" si="4"/>
        <v>Low</v>
      </c>
    </row>
    <row r="263" spans="1:5" x14ac:dyDescent="0.25">
      <c r="A263" s="4" t="s">
        <v>194</v>
      </c>
      <c r="B263" s="4" t="s">
        <v>29</v>
      </c>
      <c r="C263" s="4">
        <v>31</v>
      </c>
      <c r="D263" s="26">
        <v>2685639</v>
      </c>
      <c r="E263" s="6" t="str">
        <f t="shared" si="4"/>
        <v>Low</v>
      </c>
    </row>
    <row r="264" spans="1:5" x14ac:dyDescent="0.25">
      <c r="A264" s="4" t="s">
        <v>570</v>
      </c>
      <c r="B264" s="4" t="s">
        <v>162</v>
      </c>
      <c r="C264" s="4">
        <v>26</v>
      </c>
      <c r="D264" s="26">
        <v>2685639</v>
      </c>
      <c r="E264" s="6" t="str">
        <f t="shared" si="4"/>
        <v>Low</v>
      </c>
    </row>
    <row r="265" spans="1:5" x14ac:dyDescent="0.25">
      <c r="A265" s="4" t="s">
        <v>229</v>
      </c>
      <c r="B265" s="4" t="s">
        <v>20</v>
      </c>
      <c r="C265" s="4">
        <v>24</v>
      </c>
      <c r="D265" s="26">
        <v>2673487</v>
      </c>
      <c r="E265" s="6" t="str">
        <f t="shared" si="4"/>
        <v>Low</v>
      </c>
    </row>
    <row r="266" spans="1:5" x14ac:dyDescent="0.25">
      <c r="A266" s="4" t="s">
        <v>472</v>
      </c>
      <c r="B266" s="4" t="s">
        <v>473</v>
      </c>
      <c r="C266" s="4">
        <v>27</v>
      </c>
      <c r="D266" s="26">
        <v>2673487</v>
      </c>
      <c r="E266" s="6" t="str">
        <f t="shared" si="4"/>
        <v>Low</v>
      </c>
    </row>
    <row r="267" spans="1:5" x14ac:dyDescent="0.25">
      <c r="A267" s="4" t="s">
        <v>742</v>
      </c>
      <c r="B267" s="4" t="s">
        <v>29</v>
      </c>
      <c r="C267" s="4">
        <v>35</v>
      </c>
      <c r="D267" s="26">
        <v>2649182</v>
      </c>
      <c r="E267" s="6" t="str">
        <f t="shared" si="4"/>
        <v>Low</v>
      </c>
    </row>
    <row r="268" spans="1:5" x14ac:dyDescent="0.25">
      <c r="A268" s="4" t="s">
        <v>216</v>
      </c>
      <c r="B268" s="4" t="s">
        <v>14</v>
      </c>
      <c r="C268" s="4">
        <v>22</v>
      </c>
      <c r="D268" s="26">
        <v>2637030</v>
      </c>
      <c r="E268" s="6" t="str">
        <f t="shared" si="4"/>
        <v>Low</v>
      </c>
    </row>
    <row r="269" spans="1:5" x14ac:dyDescent="0.25">
      <c r="A269" s="4" t="s">
        <v>618</v>
      </c>
      <c r="B269" s="4" t="s">
        <v>619</v>
      </c>
      <c r="C269" s="4">
        <v>30</v>
      </c>
      <c r="D269" s="26">
        <v>2600573</v>
      </c>
      <c r="E269" s="6" t="str">
        <f t="shared" si="4"/>
        <v>Low</v>
      </c>
    </row>
    <row r="270" spans="1:5" x14ac:dyDescent="0.25">
      <c r="A270" s="4" t="s">
        <v>260</v>
      </c>
      <c r="B270" s="4" t="s">
        <v>60</v>
      </c>
      <c r="C270" s="4">
        <v>19</v>
      </c>
      <c r="D270" s="26">
        <v>2551965</v>
      </c>
      <c r="E270" s="6" t="str">
        <f t="shared" si="4"/>
        <v>Low</v>
      </c>
    </row>
    <row r="271" spans="1:5" x14ac:dyDescent="0.25">
      <c r="A271" s="4" t="s">
        <v>563</v>
      </c>
      <c r="B271" s="4" t="s">
        <v>29</v>
      </c>
      <c r="C271" s="4">
        <v>21</v>
      </c>
      <c r="D271" s="26">
        <v>2527660</v>
      </c>
      <c r="E271" s="6" t="str">
        <f t="shared" si="4"/>
        <v>Low</v>
      </c>
    </row>
    <row r="272" spans="1:5" x14ac:dyDescent="0.25">
      <c r="A272" s="4" t="s">
        <v>262</v>
      </c>
      <c r="B272" s="4" t="s">
        <v>29</v>
      </c>
      <c r="C272" s="4">
        <v>25</v>
      </c>
      <c r="D272" s="26">
        <v>2527660</v>
      </c>
      <c r="E272" s="6" t="str">
        <f t="shared" si="4"/>
        <v>Low</v>
      </c>
    </row>
    <row r="273" spans="1:5" x14ac:dyDescent="0.25">
      <c r="A273" s="4" t="s">
        <v>242</v>
      </c>
      <c r="B273" s="4" t="s">
        <v>29</v>
      </c>
      <c r="C273" s="4">
        <v>28</v>
      </c>
      <c r="D273" s="26">
        <v>2527660</v>
      </c>
      <c r="E273" s="6" t="str">
        <f t="shared" si="4"/>
        <v>Low</v>
      </c>
    </row>
    <row r="274" spans="1:5" x14ac:dyDescent="0.25">
      <c r="A274" s="4" t="s">
        <v>328</v>
      </c>
      <c r="B274" s="4" t="s">
        <v>284</v>
      </c>
      <c r="C274" s="4">
        <v>27</v>
      </c>
      <c r="D274" s="26">
        <v>2527660</v>
      </c>
      <c r="E274" s="6" t="str">
        <f t="shared" si="4"/>
        <v>Low</v>
      </c>
    </row>
    <row r="275" spans="1:5" x14ac:dyDescent="0.25">
      <c r="A275" s="4" t="s">
        <v>234</v>
      </c>
      <c r="B275" s="4" t="s">
        <v>29</v>
      </c>
      <c r="C275" s="4">
        <v>28</v>
      </c>
      <c r="D275" s="26">
        <v>2527660</v>
      </c>
      <c r="E275" s="6" t="str">
        <f t="shared" si="4"/>
        <v>Low</v>
      </c>
    </row>
    <row r="276" spans="1:5" x14ac:dyDescent="0.25">
      <c r="A276" s="4" t="s">
        <v>592</v>
      </c>
      <c r="B276" s="4" t="s">
        <v>29</v>
      </c>
      <c r="C276" s="4">
        <v>31</v>
      </c>
      <c r="D276" s="26">
        <v>2527660</v>
      </c>
      <c r="E276" s="6" t="str">
        <f t="shared" si="4"/>
        <v>Low</v>
      </c>
    </row>
    <row r="277" spans="1:5" x14ac:dyDescent="0.25">
      <c r="A277" s="4" t="s">
        <v>151</v>
      </c>
      <c r="B277" s="4" t="s">
        <v>29</v>
      </c>
      <c r="C277" s="4">
        <v>25</v>
      </c>
      <c r="D277" s="26">
        <v>2527660</v>
      </c>
      <c r="E277" s="6" t="str">
        <f t="shared" si="4"/>
        <v>Low</v>
      </c>
    </row>
    <row r="278" spans="1:5" x14ac:dyDescent="0.25">
      <c r="A278" s="4" t="s">
        <v>612</v>
      </c>
      <c r="B278" s="4" t="s">
        <v>29</v>
      </c>
      <c r="C278" s="4">
        <v>30</v>
      </c>
      <c r="D278" s="26">
        <v>2527660</v>
      </c>
      <c r="E278" s="6" t="str">
        <f t="shared" si="4"/>
        <v>Low</v>
      </c>
    </row>
    <row r="279" spans="1:5" x14ac:dyDescent="0.25">
      <c r="A279" s="4" t="s">
        <v>401</v>
      </c>
      <c r="B279" s="4" t="s">
        <v>402</v>
      </c>
      <c r="C279" s="4">
        <v>29</v>
      </c>
      <c r="D279" s="26">
        <v>2527660</v>
      </c>
      <c r="E279" s="6" t="str">
        <f t="shared" si="4"/>
        <v>Low</v>
      </c>
    </row>
    <row r="280" spans="1:5" x14ac:dyDescent="0.25">
      <c r="A280" s="4" t="s">
        <v>306</v>
      </c>
      <c r="B280" s="4" t="s">
        <v>29</v>
      </c>
      <c r="C280" s="4">
        <v>27</v>
      </c>
      <c r="D280" s="26">
        <v>2527660</v>
      </c>
      <c r="E280" s="6" t="str">
        <f t="shared" si="4"/>
        <v>Low</v>
      </c>
    </row>
    <row r="281" spans="1:5" x14ac:dyDescent="0.25">
      <c r="A281" s="4" t="s">
        <v>837</v>
      </c>
      <c r="B281" s="4" t="s">
        <v>162</v>
      </c>
      <c r="C281" s="4">
        <v>25</v>
      </c>
      <c r="D281" s="26">
        <v>2527660</v>
      </c>
      <c r="E281" s="6" t="str">
        <f t="shared" si="4"/>
        <v>Low</v>
      </c>
    </row>
    <row r="282" spans="1:5" x14ac:dyDescent="0.25">
      <c r="A282" s="4" t="s">
        <v>209</v>
      </c>
      <c r="B282" s="4" t="s">
        <v>55</v>
      </c>
      <c r="C282" s="4">
        <v>29</v>
      </c>
      <c r="D282" s="26">
        <v>2527660</v>
      </c>
      <c r="E282" s="6" t="str">
        <f t="shared" si="4"/>
        <v>Low</v>
      </c>
    </row>
    <row r="283" spans="1:5" x14ac:dyDescent="0.25">
      <c r="A283" s="4" t="s">
        <v>624</v>
      </c>
      <c r="B283" s="4" t="s">
        <v>57</v>
      </c>
      <c r="C283" s="4">
        <v>29</v>
      </c>
      <c r="D283" s="26">
        <v>2479051</v>
      </c>
      <c r="E283" s="6" t="str">
        <f t="shared" si="4"/>
        <v>Low</v>
      </c>
    </row>
    <row r="284" spans="1:5" x14ac:dyDescent="0.25">
      <c r="A284" s="4" t="s">
        <v>372</v>
      </c>
      <c r="B284" s="4" t="s">
        <v>17</v>
      </c>
      <c r="C284" s="4">
        <v>23</v>
      </c>
      <c r="D284" s="26">
        <v>2479051</v>
      </c>
      <c r="E284" s="6" t="str">
        <f t="shared" si="4"/>
        <v>Low</v>
      </c>
    </row>
    <row r="285" spans="1:5" x14ac:dyDescent="0.25">
      <c r="A285" s="4" t="s">
        <v>520</v>
      </c>
      <c r="B285" s="4" t="s">
        <v>219</v>
      </c>
      <c r="C285" s="4">
        <v>23</v>
      </c>
      <c r="D285" s="26">
        <v>2479051</v>
      </c>
      <c r="E285" s="6" t="str">
        <f t="shared" si="4"/>
        <v>Low</v>
      </c>
    </row>
    <row r="286" spans="1:5" x14ac:dyDescent="0.25">
      <c r="A286" s="4" t="s">
        <v>838</v>
      </c>
      <c r="B286" s="4" t="s">
        <v>67</v>
      </c>
      <c r="C286" s="4">
        <v>23</v>
      </c>
      <c r="D286" s="26">
        <v>2430442</v>
      </c>
      <c r="E286" s="6" t="str">
        <f t="shared" si="4"/>
        <v>Low</v>
      </c>
    </row>
    <row r="287" spans="1:5" x14ac:dyDescent="0.25">
      <c r="A287" s="4" t="s">
        <v>553</v>
      </c>
      <c r="B287" s="4" t="s">
        <v>17</v>
      </c>
      <c r="C287" s="4">
        <v>24</v>
      </c>
      <c r="D287" s="26">
        <v>2430442</v>
      </c>
      <c r="E287" s="6" t="str">
        <f t="shared" si="4"/>
        <v>Low</v>
      </c>
    </row>
    <row r="288" spans="1:5" x14ac:dyDescent="0.25">
      <c r="A288" s="4" t="s">
        <v>309</v>
      </c>
      <c r="B288" s="4" t="s">
        <v>165</v>
      </c>
      <c r="C288" s="4">
        <v>23</v>
      </c>
      <c r="D288" s="26">
        <v>2430442</v>
      </c>
      <c r="E288" s="6" t="str">
        <f t="shared" si="4"/>
        <v>Low</v>
      </c>
    </row>
    <row r="289" spans="1:5" x14ac:dyDescent="0.25">
      <c r="A289" s="4" t="s">
        <v>445</v>
      </c>
      <c r="B289" s="4" t="s">
        <v>60</v>
      </c>
      <c r="C289" s="4">
        <v>29</v>
      </c>
      <c r="D289" s="26">
        <v>2430442</v>
      </c>
      <c r="E289" s="6" t="str">
        <f t="shared" si="4"/>
        <v>Low</v>
      </c>
    </row>
    <row r="290" spans="1:5" x14ac:dyDescent="0.25">
      <c r="A290" s="4" t="s">
        <v>181</v>
      </c>
      <c r="B290" s="4" t="s">
        <v>29</v>
      </c>
      <c r="C290" s="4">
        <v>32</v>
      </c>
      <c r="D290" s="26">
        <v>2406138</v>
      </c>
      <c r="E290" s="6" t="str">
        <f t="shared" si="4"/>
        <v>Low</v>
      </c>
    </row>
    <row r="291" spans="1:5" x14ac:dyDescent="0.25">
      <c r="A291" s="4" t="s">
        <v>36</v>
      </c>
      <c r="B291" s="4" t="s">
        <v>37</v>
      </c>
      <c r="C291" s="4">
        <v>32</v>
      </c>
      <c r="D291" s="26">
        <v>2406138</v>
      </c>
      <c r="E291" s="6" t="str">
        <f t="shared" si="4"/>
        <v>Low</v>
      </c>
    </row>
    <row r="292" spans="1:5" x14ac:dyDescent="0.25">
      <c r="A292" s="4" t="s">
        <v>452</v>
      </c>
      <c r="B292" s="4" t="s">
        <v>29</v>
      </c>
      <c r="C292" s="4">
        <v>26</v>
      </c>
      <c r="D292" s="26">
        <v>2406138</v>
      </c>
      <c r="E292" s="6" t="str">
        <f t="shared" si="4"/>
        <v>Low</v>
      </c>
    </row>
    <row r="293" spans="1:5" x14ac:dyDescent="0.25">
      <c r="A293" s="4" t="s">
        <v>797</v>
      </c>
      <c r="B293" s="4" t="s">
        <v>55</v>
      </c>
      <c r="C293" s="4">
        <v>34</v>
      </c>
      <c r="D293" s="26">
        <v>2369681</v>
      </c>
      <c r="E293" s="6" t="str">
        <f t="shared" si="4"/>
        <v>Low</v>
      </c>
    </row>
    <row r="294" spans="1:5" x14ac:dyDescent="0.25">
      <c r="A294" s="4" t="s">
        <v>418</v>
      </c>
      <c r="B294" s="4" t="s">
        <v>29</v>
      </c>
      <c r="C294" s="4">
        <v>32</v>
      </c>
      <c r="D294" s="26">
        <v>2369681</v>
      </c>
      <c r="E294" s="6" t="str">
        <f t="shared" si="4"/>
        <v>Low</v>
      </c>
    </row>
    <row r="295" spans="1:5" x14ac:dyDescent="0.25">
      <c r="A295" s="4" t="s">
        <v>163</v>
      </c>
      <c r="B295" s="4" t="s">
        <v>20</v>
      </c>
      <c r="C295" s="4">
        <v>27</v>
      </c>
      <c r="D295" s="26">
        <v>2321072</v>
      </c>
      <c r="E295" s="6" t="str">
        <f t="shared" si="4"/>
        <v>Low</v>
      </c>
    </row>
    <row r="296" spans="1:5" x14ac:dyDescent="0.25">
      <c r="A296" s="4" t="s">
        <v>453</v>
      </c>
      <c r="B296" s="4" t="s">
        <v>29</v>
      </c>
      <c r="C296" s="4">
        <v>31</v>
      </c>
      <c r="D296" s="26">
        <v>2272464</v>
      </c>
      <c r="E296" s="6" t="str">
        <f t="shared" si="4"/>
        <v>Low</v>
      </c>
    </row>
    <row r="297" spans="1:5" x14ac:dyDescent="0.25">
      <c r="A297" s="4" t="s">
        <v>839</v>
      </c>
      <c r="B297" s="4" t="s">
        <v>687</v>
      </c>
      <c r="C297" s="4">
        <v>22</v>
      </c>
      <c r="D297" s="26">
        <v>2223855</v>
      </c>
      <c r="E297" s="6" t="str">
        <f t="shared" si="4"/>
        <v>Low</v>
      </c>
    </row>
    <row r="298" spans="1:5" x14ac:dyDescent="0.25">
      <c r="A298" s="4" t="s">
        <v>322</v>
      </c>
      <c r="B298" s="4" t="s">
        <v>29</v>
      </c>
      <c r="C298" s="4">
        <v>23</v>
      </c>
      <c r="D298" s="26">
        <v>2211703</v>
      </c>
      <c r="E298" s="6" t="str">
        <f t="shared" si="4"/>
        <v>Low</v>
      </c>
    </row>
    <row r="299" spans="1:5" x14ac:dyDescent="0.25">
      <c r="A299" s="4" t="s">
        <v>249</v>
      </c>
      <c r="B299" s="4" t="s">
        <v>29</v>
      </c>
      <c r="C299" s="4">
        <v>31</v>
      </c>
      <c r="D299" s="26">
        <v>2211703</v>
      </c>
      <c r="E299" s="6" t="str">
        <f t="shared" si="4"/>
        <v>Low</v>
      </c>
    </row>
    <row r="300" spans="1:5" x14ac:dyDescent="0.25">
      <c r="A300" s="4" t="s">
        <v>450</v>
      </c>
      <c r="B300" s="4" t="s">
        <v>29</v>
      </c>
      <c r="C300" s="4">
        <v>31</v>
      </c>
      <c r="D300" s="26">
        <v>2211703</v>
      </c>
      <c r="E300" s="6" t="str">
        <f t="shared" si="4"/>
        <v>Low</v>
      </c>
    </row>
    <row r="301" spans="1:5" x14ac:dyDescent="0.25">
      <c r="A301" s="4" t="s">
        <v>591</v>
      </c>
      <c r="B301" s="4" t="s">
        <v>29</v>
      </c>
      <c r="C301" s="4">
        <v>27</v>
      </c>
      <c r="D301" s="26">
        <v>2211703</v>
      </c>
      <c r="E301" s="6" t="str">
        <f t="shared" si="4"/>
        <v>Low</v>
      </c>
    </row>
    <row r="302" spans="1:5" x14ac:dyDescent="0.25">
      <c r="A302" s="4" t="s">
        <v>184</v>
      </c>
      <c r="B302" s="4" t="s">
        <v>185</v>
      </c>
      <c r="C302" s="4">
        <v>28</v>
      </c>
      <c r="D302" s="26">
        <v>2211703</v>
      </c>
      <c r="E302" s="6" t="str">
        <f t="shared" si="4"/>
        <v>Low</v>
      </c>
    </row>
    <row r="303" spans="1:5" x14ac:dyDescent="0.25">
      <c r="A303" s="4" t="s">
        <v>424</v>
      </c>
      <c r="B303" s="4" t="s">
        <v>29</v>
      </c>
      <c r="C303" s="4">
        <v>25</v>
      </c>
      <c r="D303" s="26">
        <v>2211703</v>
      </c>
      <c r="E303" s="6" t="str">
        <f t="shared" si="4"/>
        <v>Low</v>
      </c>
    </row>
    <row r="304" spans="1:5" x14ac:dyDescent="0.25">
      <c r="A304" s="4" t="s">
        <v>324</v>
      </c>
      <c r="B304" s="4" t="s">
        <v>14</v>
      </c>
      <c r="C304" s="4">
        <v>32</v>
      </c>
      <c r="D304" s="26">
        <v>2211703</v>
      </c>
      <c r="E304" s="6" t="str">
        <f t="shared" si="4"/>
        <v>Low</v>
      </c>
    </row>
    <row r="305" spans="1:5" x14ac:dyDescent="0.25">
      <c r="A305" s="4" t="s">
        <v>645</v>
      </c>
      <c r="B305" s="4" t="s">
        <v>29</v>
      </c>
      <c r="C305" s="4">
        <v>32</v>
      </c>
      <c r="D305" s="26">
        <v>2211703</v>
      </c>
      <c r="E305" s="6" t="str">
        <f t="shared" si="4"/>
        <v>Low</v>
      </c>
    </row>
    <row r="306" spans="1:5" x14ac:dyDescent="0.25">
      <c r="A306" s="4" t="s">
        <v>660</v>
      </c>
      <c r="B306" s="4" t="s">
        <v>185</v>
      </c>
      <c r="C306" s="4">
        <v>29</v>
      </c>
      <c r="D306" s="26">
        <v>2211703</v>
      </c>
      <c r="E306" s="6" t="str">
        <f t="shared" si="4"/>
        <v>Low</v>
      </c>
    </row>
    <row r="307" spans="1:5" x14ac:dyDescent="0.25">
      <c r="A307" s="4" t="s">
        <v>77</v>
      </c>
      <c r="B307" s="4" t="s">
        <v>29</v>
      </c>
      <c r="C307" s="4">
        <v>29</v>
      </c>
      <c r="D307" s="26">
        <v>2211703</v>
      </c>
      <c r="E307" s="6" t="str">
        <f t="shared" si="4"/>
        <v>Low</v>
      </c>
    </row>
    <row r="308" spans="1:5" x14ac:dyDescent="0.25">
      <c r="A308" s="4" t="s">
        <v>174</v>
      </c>
      <c r="B308" s="4" t="s">
        <v>55</v>
      </c>
      <c r="C308" s="4">
        <v>31</v>
      </c>
      <c r="D308" s="26">
        <v>2211703</v>
      </c>
      <c r="E308" s="6" t="str">
        <f t="shared" si="4"/>
        <v>Low</v>
      </c>
    </row>
    <row r="309" spans="1:5" x14ac:dyDescent="0.25">
      <c r="A309" s="4" t="s">
        <v>323</v>
      </c>
      <c r="B309" s="4" t="s">
        <v>20</v>
      </c>
      <c r="C309" s="4">
        <v>27</v>
      </c>
      <c r="D309" s="26">
        <v>2211703</v>
      </c>
      <c r="E309" s="6" t="str">
        <f t="shared" si="4"/>
        <v>Low</v>
      </c>
    </row>
    <row r="310" spans="1:5" x14ac:dyDescent="0.25">
      <c r="A310" s="4" t="s">
        <v>258</v>
      </c>
      <c r="B310" s="4" t="s">
        <v>55</v>
      </c>
      <c r="C310" s="4">
        <v>29</v>
      </c>
      <c r="D310" s="26">
        <v>2211703</v>
      </c>
      <c r="E310" s="6" t="str">
        <f t="shared" si="4"/>
        <v>Low</v>
      </c>
    </row>
    <row r="311" spans="1:5" x14ac:dyDescent="0.25">
      <c r="A311" s="4" t="s">
        <v>210</v>
      </c>
      <c r="B311" s="4" t="s">
        <v>52</v>
      </c>
      <c r="C311" s="4">
        <v>29</v>
      </c>
      <c r="D311" s="26">
        <v>2211703</v>
      </c>
      <c r="E311" s="6" t="str">
        <f t="shared" si="4"/>
        <v>Low</v>
      </c>
    </row>
    <row r="312" spans="1:5" x14ac:dyDescent="0.25">
      <c r="A312" s="4" t="s">
        <v>497</v>
      </c>
      <c r="B312" s="4" t="s">
        <v>127</v>
      </c>
      <c r="C312" s="4">
        <v>27</v>
      </c>
      <c r="D312" s="26">
        <v>2211703</v>
      </c>
      <c r="E312" s="6" t="str">
        <f t="shared" si="4"/>
        <v>Low</v>
      </c>
    </row>
    <row r="313" spans="1:5" x14ac:dyDescent="0.25">
      <c r="A313" s="4" t="s">
        <v>698</v>
      </c>
      <c r="B313" s="4" t="s">
        <v>29</v>
      </c>
      <c r="C313" s="4">
        <v>29</v>
      </c>
      <c r="D313" s="26">
        <v>2211703</v>
      </c>
      <c r="E313" s="6" t="str">
        <f t="shared" si="4"/>
        <v>Low</v>
      </c>
    </row>
    <row r="314" spans="1:5" x14ac:dyDescent="0.25">
      <c r="A314" s="4" t="s">
        <v>303</v>
      </c>
      <c r="B314" s="4" t="s">
        <v>29</v>
      </c>
      <c r="C314" s="4">
        <v>20</v>
      </c>
      <c r="D314" s="26">
        <v>2211703</v>
      </c>
      <c r="E314" s="6" t="str">
        <f t="shared" si="4"/>
        <v>Low</v>
      </c>
    </row>
    <row r="315" spans="1:5" x14ac:dyDescent="0.25">
      <c r="A315" s="4" t="s">
        <v>441</v>
      </c>
      <c r="B315" s="4" t="s">
        <v>279</v>
      </c>
      <c r="C315" s="4">
        <v>26</v>
      </c>
      <c r="D315" s="26">
        <v>2090180</v>
      </c>
      <c r="E315" s="6" t="str">
        <f t="shared" si="4"/>
        <v>Low</v>
      </c>
    </row>
    <row r="316" spans="1:5" x14ac:dyDescent="0.25">
      <c r="A316" s="4" t="s">
        <v>431</v>
      </c>
      <c r="B316" s="4" t="s">
        <v>162</v>
      </c>
      <c r="C316" s="4">
        <v>24</v>
      </c>
      <c r="D316" s="26">
        <v>2090180</v>
      </c>
      <c r="E316" s="6" t="str">
        <f t="shared" si="4"/>
        <v>Low</v>
      </c>
    </row>
    <row r="317" spans="1:5" x14ac:dyDescent="0.25">
      <c r="A317" s="4" t="s">
        <v>319</v>
      </c>
      <c r="B317" s="4" t="s">
        <v>14</v>
      </c>
      <c r="C317" s="4">
        <v>23</v>
      </c>
      <c r="D317" s="26">
        <v>2065876</v>
      </c>
      <c r="E317" s="6" t="str">
        <f t="shared" si="4"/>
        <v>Low</v>
      </c>
    </row>
    <row r="318" spans="1:5" x14ac:dyDescent="0.25">
      <c r="A318" s="4" t="s">
        <v>662</v>
      </c>
      <c r="B318" s="4" t="s">
        <v>60</v>
      </c>
      <c r="C318" s="4">
        <v>28</v>
      </c>
      <c r="D318" s="26">
        <v>2065876</v>
      </c>
      <c r="E318" s="6" t="str">
        <f t="shared" si="4"/>
        <v>Low</v>
      </c>
    </row>
    <row r="319" spans="1:5" x14ac:dyDescent="0.25">
      <c r="A319" s="4" t="s">
        <v>589</v>
      </c>
      <c r="B319" s="4" t="s">
        <v>124</v>
      </c>
      <c r="C319" s="4">
        <v>29</v>
      </c>
      <c r="D319" s="26">
        <v>2053724</v>
      </c>
      <c r="E319" s="6" t="str">
        <f t="shared" si="4"/>
        <v>Low</v>
      </c>
    </row>
    <row r="320" spans="1:5" x14ac:dyDescent="0.25">
      <c r="A320" s="4" t="s">
        <v>354</v>
      </c>
      <c r="B320" s="4" t="s">
        <v>355</v>
      </c>
      <c r="C320" s="4">
        <v>27</v>
      </c>
      <c r="D320" s="26">
        <v>2053724</v>
      </c>
      <c r="E320" s="6" t="str">
        <f t="shared" si="4"/>
        <v>Low</v>
      </c>
    </row>
    <row r="321" spans="1:5" x14ac:dyDescent="0.25">
      <c r="A321" s="4" t="s">
        <v>352</v>
      </c>
      <c r="B321" s="4" t="s">
        <v>353</v>
      </c>
      <c r="C321" s="4">
        <v>22</v>
      </c>
      <c r="D321" s="26">
        <v>2029419</v>
      </c>
      <c r="E321" s="6" t="str">
        <f t="shared" si="4"/>
        <v>Low</v>
      </c>
    </row>
    <row r="322" spans="1:5" x14ac:dyDescent="0.25">
      <c r="A322" s="4" t="s">
        <v>236</v>
      </c>
      <c r="B322" s="4" t="s">
        <v>29</v>
      </c>
      <c r="C322" s="4">
        <v>21</v>
      </c>
      <c r="D322" s="26">
        <v>2017267</v>
      </c>
      <c r="E322" s="6" t="str">
        <f t="shared" si="4"/>
        <v>Low</v>
      </c>
    </row>
    <row r="323" spans="1:5" x14ac:dyDescent="0.25">
      <c r="A323" s="4" t="s">
        <v>307</v>
      </c>
      <c r="B323" s="4" t="s">
        <v>17</v>
      </c>
      <c r="C323" s="4">
        <v>28</v>
      </c>
      <c r="D323" s="26">
        <v>1968658</v>
      </c>
      <c r="E323" s="6" t="str">
        <f t="shared" ref="E323:E386" si="5">VLOOKUP(D323,$G$14:$I$18,3,1)</f>
        <v>Low</v>
      </c>
    </row>
    <row r="324" spans="1:5" x14ac:dyDescent="0.25">
      <c r="A324" s="4" t="s">
        <v>499</v>
      </c>
      <c r="B324" s="4" t="s">
        <v>60</v>
      </c>
      <c r="C324" s="4">
        <v>26</v>
      </c>
      <c r="D324" s="26">
        <v>1956506</v>
      </c>
      <c r="E324" s="6" t="str">
        <f t="shared" si="5"/>
        <v>Low</v>
      </c>
    </row>
    <row r="325" spans="1:5" x14ac:dyDescent="0.25">
      <c r="A325" s="4" t="s">
        <v>545</v>
      </c>
      <c r="B325" s="4" t="s">
        <v>546</v>
      </c>
      <c r="C325" s="4">
        <v>25</v>
      </c>
      <c r="D325" s="26">
        <v>1944354</v>
      </c>
      <c r="E325" s="6" t="str">
        <f t="shared" si="5"/>
        <v>Low</v>
      </c>
    </row>
    <row r="326" spans="1:5" x14ac:dyDescent="0.25">
      <c r="A326" s="4" t="s">
        <v>840</v>
      </c>
      <c r="B326" s="4" t="s">
        <v>29</v>
      </c>
      <c r="C326" s="4">
        <v>20</v>
      </c>
      <c r="D326" s="26">
        <v>1944354</v>
      </c>
      <c r="E326" s="6" t="str">
        <f t="shared" si="5"/>
        <v>Low</v>
      </c>
    </row>
    <row r="327" spans="1:5" x14ac:dyDescent="0.25">
      <c r="A327" s="4" t="s">
        <v>521</v>
      </c>
      <c r="B327" s="4" t="s">
        <v>32</v>
      </c>
      <c r="C327" s="4">
        <v>22</v>
      </c>
      <c r="D327" s="26">
        <v>1944354</v>
      </c>
      <c r="E327" s="6" t="str">
        <f t="shared" si="5"/>
        <v>Low</v>
      </c>
    </row>
    <row r="328" spans="1:5" x14ac:dyDescent="0.25">
      <c r="A328" s="4" t="s">
        <v>529</v>
      </c>
      <c r="B328" s="4" t="s">
        <v>530</v>
      </c>
      <c r="C328" s="4">
        <v>23</v>
      </c>
      <c r="D328" s="26">
        <v>1944354</v>
      </c>
      <c r="E328" s="6" t="str">
        <f t="shared" si="5"/>
        <v>Low</v>
      </c>
    </row>
    <row r="329" spans="1:5" x14ac:dyDescent="0.25">
      <c r="A329" s="4" t="s">
        <v>554</v>
      </c>
      <c r="B329" s="4" t="s">
        <v>29</v>
      </c>
      <c r="C329" s="4">
        <v>19</v>
      </c>
      <c r="D329" s="26">
        <v>1895745</v>
      </c>
      <c r="E329" s="6" t="str">
        <f t="shared" si="5"/>
        <v>Low</v>
      </c>
    </row>
    <row r="330" spans="1:5" x14ac:dyDescent="0.25">
      <c r="A330" s="4" t="s">
        <v>590</v>
      </c>
      <c r="B330" s="4" t="s">
        <v>29</v>
      </c>
      <c r="C330" s="4">
        <v>20</v>
      </c>
      <c r="D330" s="26">
        <v>1895745</v>
      </c>
      <c r="E330" s="6" t="str">
        <f t="shared" si="5"/>
        <v>Low</v>
      </c>
    </row>
    <row r="331" spans="1:5" x14ac:dyDescent="0.25">
      <c r="A331" s="4" t="s">
        <v>841</v>
      </c>
      <c r="B331" s="4" t="s">
        <v>29</v>
      </c>
      <c r="C331" s="4">
        <v>38</v>
      </c>
      <c r="D331" s="26">
        <v>1895745</v>
      </c>
      <c r="E331" s="6" t="str">
        <f t="shared" si="5"/>
        <v>Low</v>
      </c>
    </row>
    <row r="332" spans="1:5" x14ac:dyDescent="0.25">
      <c r="A332" s="4" t="s">
        <v>154</v>
      </c>
      <c r="B332" s="4" t="s">
        <v>29</v>
      </c>
      <c r="C332" s="4">
        <v>27</v>
      </c>
      <c r="D332" s="26">
        <v>1895745</v>
      </c>
      <c r="E332" s="6" t="str">
        <f t="shared" si="5"/>
        <v>Low</v>
      </c>
    </row>
    <row r="333" spans="1:5" x14ac:dyDescent="0.25">
      <c r="A333" s="4" t="s">
        <v>45</v>
      </c>
      <c r="B333" s="4" t="s">
        <v>29</v>
      </c>
      <c r="C333" s="4">
        <v>38</v>
      </c>
      <c r="D333" s="26">
        <v>1895745</v>
      </c>
      <c r="E333" s="6" t="str">
        <f t="shared" si="5"/>
        <v>Low</v>
      </c>
    </row>
    <row r="334" spans="1:5" x14ac:dyDescent="0.25">
      <c r="A334" s="4" t="s">
        <v>280</v>
      </c>
      <c r="B334" s="4" t="s">
        <v>162</v>
      </c>
      <c r="C334" s="4">
        <v>30</v>
      </c>
      <c r="D334" s="26">
        <v>1895745</v>
      </c>
      <c r="E334" s="6" t="str">
        <f t="shared" si="5"/>
        <v>Low</v>
      </c>
    </row>
    <row r="335" spans="1:5" x14ac:dyDescent="0.25">
      <c r="A335" s="4" t="s">
        <v>583</v>
      </c>
      <c r="B335" s="4" t="s">
        <v>127</v>
      </c>
      <c r="C335" s="4">
        <v>25</v>
      </c>
      <c r="D335" s="26">
        <v>1895745</v>
      </c>
      <c r="E335" s="6" t="str">
        <f t="shared" si="5"/>
        <v>Low</v>
      </c>
    </row>
    <row r="336" spans="1:5" x14ac:dyDescent="0.25">
      <c r="A336" s="4" t="s">
        <v>493</v>
      </c>
      <c r="B336" s="4" t="s">
        <v>29</v>
      </c>
      <c r="C336" s="4">
        <v>23</v>
      </c>
      <c r="D336" s="26">
        <v>1895745</v>
      </c>
      <c r="E336" s="6" t="str">
        <f t="shared" si="5"/>
        <v>Low</v>
      </c>
    </row>
    <row r="337" spans="1:5" x14ac:dyDescent="0.25">
      <c r="A337" s="4" t="s">
        <v>143</v>
      </c>
      <c r="B337" s="4" t="s">
        <v>144</v>
      </c>
      <c r="C337" s="4">
        <v>30</v>
      </c>
      <c r="D337" s="26">
        <v>1895745</v>
      </c>
      <c r="E337" s="6" t="str">
        <f t="shared" si="5"/>
        <v>Low</v>
      </c>
    </row>
    <row r="338" spans="1:5" x14ac:dyDescent="0.25">
      <c r="A338" s="4" t="s">
        <v>485</v>
      </c>
      <c r="B338" s="4" t="s">
        <v>133</v>
      </c>
      <c r="C338" s="4">
        <v>24</v>
      </c>
      <c r="D338" s="26">
        <v>1895745</v>
      </c>
      <c r="E338" s="6" t="str">
        <f t="shared" si="5"/>
        <v>Low</v>
      </c>
    </row>
    <row r="339" spans="1:5" x14ac:dyDescent="0.25">
      <c r="A339" s="4" t="s">
        <v>842</v>
      </c>
      <c r="B339" s="4" t="s">
        <v>298</v>
      </c>
      <c r="C339" s="4">
        <v>24</v>
      </c>
      <c r="D339" s="26">
        <v>1895745</v>
      </c>
      <c r="E339" s="6" t="str">
        <f t="shared" si="5"/>
        <v>Low</v>
      </c>
    </row>
    <row r="340" spans="1:5" x14ac:dyDescent="0.25">
      <c r="A340" s="4" t="s">
        <v>325</v>
      </c>
      <c r="B340" s="4" t="s">
        <v>29</v>
      </c>
      <c r="C340" s="4">
        <v>27</v>
      </c>
      <c r="D340" s="26">
        <v>1895745</v>
      </c>
      <c r="E340" s="6" t="str">
        <f t="shared" si="5"/>
        <v>Low</v>
      </c>
    </row>
    <row r="341" spans="1:5" x14ac:dyDescent="0.25">
      <c r="A341" s="4" t="s">
        <v>799</v>
      </c>
      <c r="B341" s="4" t="s">
        <v>29</v>
      </c>
      <c r="C341" s="4">
        <v>19</v>
      </c>
      <c r="D341" s="26">
        <v>1847136</v>
      </c>
      <c r="E341" s="6" t="str">
        <f t="shared" si="5"/>
        <v>Low</v>
      </c>
    </row>
    <row r="342" spans="1:5" x14ac:dyDescent="0.25">
      <c r="A342" s="4" t="s">
        <v>720</v>
      </c>
      <c r="B342" s="4" t="s">
        <v>133</v>
      </c>
      <c r="C342" s="4">
        <v>19</v>
      </c>
      <c r="D342" s="26">
        <v>1822832</v>
      </c>
      <c r="E342" s="6" t="str">
        <f t="shared" si="5"/>
        <v>Low</v>
      </c>
    </row>
    <row r="343" spans="1:5" x14ac:dyDescent="0.25">
      <c r="A343" s="4" t="s">
        <v>224</v>
      </c>
      <c r="B343" s="4" t="s">
        <v>29</v>
      </c>
      <c r="C343" s="4">
        <v>20</v>
      </c>
      <c r="D343" s="26">
        <v>1822832</v>
      </c>
      <c r="E343" s="6" t="str">
        <f t="shared" si="5"/>
        <v>Low</v>
      </c>
    </row>
    <row r="344" spans="1:5" x14ac:dyDescent="0.25">
      <c r="A344" s="4" t="s">
        <v>347</v>
      </c>
      <c r="B344" s="4" t="s">
        <v>29</v>
      </c>
      <c r="C344" s="4">
        <v>21</v>
      </c>
      <c r="D344" s="26">
        <v>1822832</v>
      </c>
      <c r="E344" s="6" t="str">
        <f t="shared" si="5"/>
        <v>Low</v>
      </c>
    </row>
    <row r="345" spans="1:5" x14ac:dyDescent="0.25">
      <c r="A345" s="4" t="s">
        <v>82</v>
      </c>
      <c r="B345" s="4" t="s">
        <v>83</v>
      </c>
      <c r="C345" s="4">
        <v>28</v>
      </c>
      <c r="D345" s="26">
        <v>1810680</v>
      </c>
      <c r="E345" s="6" t="str">
        <f t="shared" si="5"/>
        <v>Low</v>
      </c>
    </row>
    <row r="346" spans="1:5" x14ac:dyDescent="0.25">
      <c r="A346" s="4" t="s">
        <v>327</v>
      </c>
      <c r="B346" s="4" t="s">
        <v>317</v>
      </c>
      <c r="C346" s="4">
        <v>27</v>
      </c>
      <c r="D346" s="26">
        <v>1762071</v>
      </c>
      <c r="E346" s="6" t="str">
        <f t="shared" si="5"/>
        <v>Low</v>
      </c>
    </row>
    <row r="347" spans="1:5" x14ac:dyDescent="0.25">
      <c r="A347" s="4" t="s">
        <v>278</v>
      </c>
      <c r="B347" s="4" t="s">
        <v>279</v>
      </c>
      <c r="C347" s="4">
        <v>21</v>
      </c>
      <c r="D347" s="26">
        <v>1749919</v>
      </c>
      <c r="E347" s="6" t="str">
        <f t="shared" si="5"/>
        <v>Low</v>
      </c>
    </row>
    <row r="348" spans="1:5" x14ac:dyDescent="0.25">
      <c r="A348" s="4" t="s">
        <v>316</v>
      </c>
      <c r="B348" s="4" t="s">
        <v>317</v>
      </c>
      <c r="C348" s="4">
        <v>22</v>
      </c>
      <c r="D348" s="26">
        <v>1737766</v>
      </c>
      <c r="E348" s="6" t="str">
        <f t="shared" si="5"/>
        <v>Low</v>
      </c>
    </row>
    <row r="349" spans="1:5" x14ac:dyDescent="0.25">
      <c r="A349" s="4" t="s">
        <v>438</v>
      </c>
      <c r="B349" s="4" t="s">
        <v>219</v>
      </c>
      <c r="C349" s="4">
        <v>27</v>
      </c>
      <c r="D349" s="26">
        <v>1737766</v>
      </c>
      <c r="E349" s="6" t="str">
        <f t="shared" si="5"/>
        <v>Low</v>
      </c>
    </row>
    <row r="350" spans="1:5" x14ac:dyDescent="0.25">
      <c r="A350" s="4" t="s">
        <v>426</v>
      </c>
      <c r="B350" s="4" t="s">
        <v>83</v>
      </c>
      <c r="C350" s="4">
        <v>21</v>
      </c>
      <c r="D350" s="26">
        <v>1701310</v>
      </c>
      <c r="E350" s="6" t="str">
        <f t="shared" si="5"/>
        <v>Low</v>
      </c>
    </row>
    <row r="351" spans="1:5" x14ac:dyDescent="0.25">
      <c r="A351" s="4" t="s">
        <v>281</v>
      </c>
      <c r="B351" s="4" t="s">
        <v>133</v>
      </c>
      <c r="C351" s="4">
        <v>27</v>
      </c>
      <c r="D351" s="26">
        <v>1677005</v>
      </c>
      <c r="E351" s="6" t="str">
        <f t="shared" si="5"/>
        <v>Low</v>
      </c>
    </row>
    <row r="352" spans="1:5" x14ac:dyDescent="0.25">
      <c r="A352" s="4" t="s">
        <v>383</v>
      </c>
      <c r="B352" s="4" t="s">
        <v>52</v>
      </c>
      <c r="C352" s="4">
        <v>25</v>
      </c>
      <c r="D352" s="26">
        <v>1652701</v>
      </c>
      <c r="E352" s="6" t="str">
        <f t="shared" si="5"/>
        <v>Low</v>
      </c>
    </row>
    <row r="353" spans="1:5" x14ac:dyDescent="0.25">
      <c r="A353" s="4" t="s">
        <v>191</v>
      </c>
      <c r="B353" s="4" t="s">
        <v>83</v>
      </c>
      <c r="C353" s="4">
        <v>22</v>
      </c>
      <c r="D353" s="26">
        <v>1579788</v>
      </c>
      <c r="E353" s="6" t="str">
        <f t="shared" si="5"/>
        <v>Low</v>
      </c>
    </row>
    <row r="354" spans="1:5" x14ac:dyDescent="0.25">
      <c r="A354" s="4" t="s">
        <v>49</v>
      </c>
      <c r="B354" s="4" t="s">
        <v>29</v>
      </c>
      <c r="C354" s="4">
        <v>25</v>
      </c>
      <c r="D354" s="26">
        <v>1579788</v>
      </c>
      <c r="E354" s="6" t="str">
        <f t="shared" si="5"/>
        <v>Low</v>
      </c>
    </row>
    <row r="355" spans="1:5" x14ac:dyDescent="0.25">
      <c r="A355" s="4" t="s">
        <v>337</v>
      </c>
      <c r="B355" s="4" t="s">
        <v>127</v>
      </c>
      <c r="C355" s="4">
        <v>29</v>
      </c>
      <c r="D355" s="26">
        <v>1579788</v>
      </c>
      <c r="E355" s="6" t="str">
        <f t="shared" si="5"/>
        <v>Low</v>
      </c>
    </row>
    <row r="356" spans="1:5" x14ac:dyDescent="0.25">
      <c r="A356" s="4" t="s">
        <v>644</v>
      </c>
      <c r="B356" s="4" t="s">
        <v>496</v>
      </c>
      <c r="C356" s="4">
        <v>31</v>
      </c>
      <c r="D356" s="26">
        <v>1579788</v>
      </c>
      <c r="E356" s="6" t="str">
        <f t="shared" si="5"/>
        <v>Low</v>
      </c>
    </row>
    <row r="357" spans="1:5" x14ac:dyDescent="0.25">
      <c r="A357" s="4" t="s">
        <v>59</v>
      </c>
      <c r="B357" s="4" t="s">
        <v>60</v>
      </c>
      <c r="C357" s="4">
        <v>33</v>
      </c>
      <c r="D357" s="26">
        <v>1579788</v>
      </c>
      <c r="E357" s="6" t="str">
        <f t="shared" si="5"/>
        <v>Low</v>
      </c>
    </row>
    <row r="358" spans="1:5" x14ac:dyDescent="0.25">
      <c r="A358" s="4" t="s">
        <v>483</v>
      </c>
      <c r="B358" s="4" t="s">
        <v>29</v>
      </c>
      <c r="C358" s="4">
        <v>23</v>
      </c>
      <c r="D358" s="26">
        <v>1579788</v>
      </c>
      <c r="E358" s="6" t="str">
        <f t="shared" si="5"/>
        <v>Low</v>
      </c>
    </row>
    <row r="359" spans="1:5" x14ac:dyDescent="0.25">
      <c r="A359" s="4" t="s">
        <v>733</v>
      </c>
      <c r="B359" s="4" t="s">
        <v>276</v>
      </c>
      <c r="C359" s="4">
        <v>26</v>
      </c>
      <c r="D359" s="26">
        <v>1579788</v>
      </c>
      <c r="E359" s="6" t="str">
        <f t="shared" si="5"/>
        <v>Low</v>
      </c>
    </row>
    <row r="360" spans="1:5" x14ac:dyDescent="0.25">
      <c r="A360" s="4" t="s">
        <v>755</v>
      </c>
      <c r="B360" s="4" t="s">
        <v>29</v>
      </c>
      <c r="C360" s="4">
        <v>31</v>
      </c>
      <c r="D360" s="26">
        <v>1579788</v>
      </c>
      <c r="E360" s="6" t="str">
        <f t="shared" si="5"/>
        <v>Low</v>
      </c>
    </row>
    <row r="361" spans="1:5" x14ac:dyDescent="0.25">
      <c r="A361" s="4" t="s">
        <v>843</v>
      </c>
      <c r="B361" s="4" t="s">
        <v>62</v>
      </c>
      <c r="C361" s="4">
        <v>28</v>
      </c>
      <c r="D361" s="26">
        <v>1579788</v>
      </c>
      <c r="E361" s="6" t="str">
        <f t="shared" si="5"/>
        <v>Low</v>
      </c>
    </row>
    <row r="362" spans="1:5" x14ac:dyDescent="0.25">
      <c r="A362" s="4" t="s">
        <v>456</v>
      </c>
      <c r="B362" s="4" t="s">
        <v>52</v>
      </c>
      <c r="C362" s="4">
        <v>20</v>
      </c>
      <c r="D362" s="26">
        <v>1579788</v>
      </c>
      <c r="E362" s="6" t="str">
        <f t="shared" si="5"/>
        <v>Low</v>
      </c>
    </row>
    <row r="363" spans="1:5" x14ac:dyDescent="0.25">
      <c r="A363" s="4" t="s">
        <v>335</v>
      </c>
      <c r="B363" s="4" t="s">
        <v>127</v>
      </c>
      <c r="C363" s="4">
        <v>26</v>
      </c>
      <c r="D363" s="26">
        <v>1579788</v>
      </c>
      <c r="E363" s="6" t="str">
        <f t="shared" si="5"/>
        <v>Low</v>
      </c>
    </row>
    <row r="364" spans="1:5" x14ac:dyDescent="0.25">
      <c r="A364" s="4" t="s">
        <v>427</v>
      </c>
      <c r="B364" s="4" t="s">
        <v>29</v>
      </c>
      <c r="C364" s="4">
        <v>27</v>
      </c>
      <c r="D364" s="26">
        <v>1579788</v>
      </c>
      <c r="E364" s="6" t="str">
        <f t="shared" si="5"/>
        <v>Low</v>
      </c>
    </row>
    <row r="365" spans="1:5" x14ac:dyDescent="0.25">
      <c r="A365" s="4" t="s">
        <v>318</v>
      </c>
      <c r="B365" s="4" t="s">
        <v>29</v>
      </c>
      <c r="C365" s="4">
        <v>32</v>
      </c>
      <c r="D365" s="26">
        <v>1579788</v>
      </c>
      <c r="E365" s="6" t="str">
        <f t="shared" si="5"/>
        <v>Low</v>
      </c>
    </row>
    <row r="366" spans="1:5" x14ac:dyDescent="0.25">
      <c r="A366" s="4" t="s">
        <v>695</v>
      </c>
      <c r="B366" s="4" t="s">
        <v>127</v>
      </c>
      <c r="C366" s="4">
        <v>36</v>
      </c>
      <c r="D366" s="26">
        <v>1579788</v>
      </c>
      <c r="E366" s="6" t="str">
        <f t="shared" si="5"/>
        <v>Low</v>
      </c>
    </row>
    <row r="367" spans="1:5" x14ac:dyDescent="0.25">
      <c r="A367" s="4" t="s">
        <v>351</v>
      </c>
      <c r="B367" s="4" t="s">
        <v>29</v>
      </c>
      <c r="C367" s="4">
        <v>26</v>
      </c>
      <c r="D367" s="26">
        <v>1579788</v>
      </c>
      <c r="E367" s="6" t="str">
        <f t="shared" si="5"/>
        <v>Low</v>
      </c>
    </row>
    <row r="368" spans="1:5" x14ac:dyDescent="0.25">
      <c r="A368" s="4" t="s">
        <v>34</v>
      </c>
      <c r="B368" s="4" t="s">
        <v>29</v>
      </c>
      <c r="C368" s="4">
        <v>30</v>
      </c>
      <c r="D368" s="26">
        <v>1579788</v>
      </c>
      <c r="E368" s="6" t="str">
        <f t="shared" si="5"/>
        <v>Low</v>
      </c>
    </row>
    <row r="369" spans="1:5" x14ac:dyDescent="0.25">
      <c r="A369" s="4" t="s">
        <v>706</v>
      </c>
      <c r="B369" s="4" t="s">
        <v>29</v>
      </c>
      <c r="C369" s="4">
        <v>35</v>
      </c>
      <c r="D369" s="26">
        <v>1579788</v>
      </c>
      <c r="E369" s="6" t="str">
        <f t="shared" si="5"/>
        <v>Low</v>
      </c>
    </row>
    <row r="370" spans="1:5" x14ac:dyDescent="0.25">
      <c r="A370" s="4" t="s">
        <v>79</v>
      </c>
      <c r="B370" s="4" t="s">
        <v>20</v>
      </c>
      <c r="C370" s="4">
        <v>25</v>
      </c>
      <c r="D370" s="26">
        <v>1579788</v>
      </c>
      <c r="E370" s="6" t="str">
        <f t="shared" si="5"/>
        <v>Low</v>
      </c>
    </row>
    <row r="371" spans="1:5" x14ac:dyDescent="0.25">
      <c r="A371" s="4" t="s">
        <v>269</v>
      </c>
      <c r="B371" s="4" t="s">
        <v>75</v>
      </c>
      <c r="C371" s="4">
        <v>30</v>
      </c>
      <c r="D371" s="26">
        <v>1579788</v>
      </c>
      <c r="E371" s="6" t="str">
        <f t="shared" si="5"/>
        <v>Low</v>
      </c>
    </row>
    <row r="372" spans="1:5" x14ac:dyDescent="0.25">
      <c r="A372" s="4" t="s">
        <v>288</v>
      </c>
      <c r="B372" s="4" t="s">
        <v>14</v>
      </c>
      <c r="C372" s="4">
        <v>25</v>
      </c>
      <c r="D372" s="26">
        <v>1579788</v>
      </c>
      <c r="E372" s="6" t="str">
        <f t="shared" si="5"/>
        <v>Low</v>
      </c>
    </row>
    <row r="373" spans="1:5" x14ac:dyDescent="0.25">
      <c r="A373" s="4" t="s">
        <v>147</v>
      </c>
      <c r="B373" s="4" t="s">
        <v>148</v>
      </c>
      <c r="C373" s="4">
        <v>24</v>
      </c>
      <c r="D373" s="26">
        <v>1579788</v>
      </c>
      <c r="E373" s="6" t="str">
        <f t="shared" si="5"/>
        <v>Low</v>
      </c>
    </row>
    <row r="374" spans="1:5" x14ac:dyDescent="0.25">
      <c r="A374" s="4" t="s">
        <v>263</v>
      </c>
      <c r="B374" s="4" t="s">
        <v>29</v>
      </c>
      <c r="C374" s="4">
        <v>24</v>
      </c>
      <c r="D374" s="26">
        <v>1579788</v>
      </c>
      <c r="E374" s="6" t="str">
        <f t="shared" si="5"/>
        <v>Low</v>
      </c>
    </row>
    <row r="375" spans="1:5" x14ac:dyDescent="0.25">
      <c r="A375" s="4" t="s">
        <v>193</v>
      </c>
      <c r="B375" s="4" t="s">
        <v>29</v>
      </c>
      <c r="C375" s="4">
        <v>23</v>
      </c>
      <c r="D375" s="26">
        <v>1579788</v>
      </c>
      <c r="E375" s="6" t="str">
        <f t="shared" si="5"/>
        <v>Low</v>
      </c>
    </row>
    <row r="376" spans="1:5" x14ac:dyDescent="0.25">
      <c r="A376" s="4" t="s">
        <v>361</v>
      </c>
      <c r="B376" s="4" t="s">
        <v>333</v>
      </c>
      <c r="C376" s="4">
        <v>31</v>
      </c>
      <c r="D376" s="26">
        <v>1555483</v>
      </c>
      <c r="E376" s="6" t="str">
        <f t="shared" si="5"/>
        <v>Low</v>
      </c>
    </row>
    <row r="377" spans="1:5" x14ac:dyDescent="0.25">
      <c r="A377" s="4" t="s">
        <v>164</v>
      </c>
      <c r="B377" s="4" t="s">
        <v>165</v>
      </c>
      <c r="C377" s="4">
        <v>32</v>
      </c>
      <c r="D377" s="26">
        <v>1482570</v>
      </c>
      <c r="E377" s="6" t="str">
        <f t="shared" si="5"/>
        <v>Low</v>
      </c>
    </row>
    <row r="378" spans="1:5" x14ac:dyDescent="0.25">
      <c r="A378" s="4" t="s">
        <v>217</v>
      </c>
      <c r="B378" s="4" t="s">
        <v>67</v>
      </c>
      <c r="C378" s="4">
        <v>29</v>
      </c>
      <c r="D378" s="26">
        <v>1482570</v>
      </c>
      <c r="E378" s="6" t="str">
        <f t="shared" si="5"/>
        <v>Low</v>
      </c>
    </row>
    <row r="379" spans="1:5" x14ac:dyDescent="0.25">
      <c r="A379" s="4" t="s">
        <v>394</v>
      </c>
      <c r="B379" s="4" t="s">
        <v>124</v>
      </c>
      <c r="C379" s="4">
        <v>22</v>
      </c>
      <c r="D379" s="26">
        <v>1458265</v>
      </c>
      <c r="E379" s="6" t="str">
        <f t="shared" si="5"/>
        <v>Low</v>
      </c>
    </row>
    <row r="380" spans="1:5" x14ac:dyDescent="0.25">
      <c r="A380" s="4" t="s">
        <v>423</v>
      </c>
      <c r="B380" s="4" t="s">
        <v>29</v>
      </c>
      <c r="C380" s="4">
        <v>22</v>
      </c>
      <c r="D380" s="26">
        <v>1458265</v>
      </c>
      <c r="E380" s="6" t="str">
        <f t="shared" si="5"/>
        <v>Low</v>
      </c>
    </row>
    <row r="381" spans="1:5" x14ac:dyDescent="0.25">
      <c r="A381" s="4" t="s">
        <v>314</v>
      </c>
      <c r="B381" s="4" t="s">
        <v>55</v>
      </c>
      <c r="C381" s="4">
        <v>30</v>
      </c>
      <c r="D381" s="26">
        <v>1458265</v>
      </c>
      <c r="E381" s="6" t="str">
        <f t="shared" si="5"/>
        <v>Low</v>
      </c>
    </row>
    <row r="382" spans="1:5" x14ac:dyDescent="0.25">
      <c r="A382" s="4" t="s">
        <v>748</v>
      </c>
      <c r="B382" s="4" t="s">
        <v>402</v>
      </c>
      <c r="C382" s="4">
        <v>36</v>
      </c>
      <c r="D382" s="26">
        <v>1458265</v>
      </c>
      <c r="E382" s="6" t="str">
        <f t="shared" si="5"/>
        <v>Low</v>
      </c>
    </row>
    <row r="383" spans="1:5" x14ac:dyDescent="0.25">
      <c r="A383" s="4" t="s">
        <v>600</v>
      </c>
      <c r="B383" s="4" t="s">
        <v>55</v>
      </c>
      <c r="C383" s="4">
        <v>21</v>
      </c>
      <c r="D383" s="26">
        <v>1458265</v>
      </c>
      <c r="E383" s="6" t="str">
        <f t="shared" si="5"/>
        <v>Low</v>
      </c>
    </row>
    <row r="384" spans="1:5" x14ac:dyDescent="0.25">
      <c r="A384" s="4" t="s">
        <v>392</v>
      </c>
      <c r="B384" s="4" t="s">
        <v>62</v>
      </c>
      <c r="C384" s="4">
        <v>30</v>
      </c>
      <c r="D384" s="26">
        <v>1421809</v>
      </c>
      <c r="E384" s="6" t="str">
        <f t="shared" si="5"/>
        <v>Low</v>
      </c>
    </row>
    <row r="385" spans="1:5" x14ac:dyDescent="0.25">
      <c r="A385" s="4" t="s">
        <v>108</v>
      </c>
      <c r="B385" s="4" t="s">
        <v>29</v>
      </c>
      <c r="C385" s="4">
        <v>21</v>
      </c>
      <c r="D385" s="26">
        <v>1421809</v>
      </c>
      <c r="E385" s="6" t="str">
        <f t="shared" si="5"/>
        <v>Low</v>
      </c>
    </row>
    <row r="386" spans="1:5" x14ac:dyDescent="0.25">
      <c r="A386" s="4" t="s">
        <v>222</v>
      </c>
      <c r="B386" s="4" t="s">
        <v>20</v>
      </c>
      <c r="C386" s="4">
        <v>30</v>
      </c>
      <c r="D386" s="26">
        <v>1421809</v>
      </c>
      <c r="E386" s="6" t="str">
        <f t="shared" si="5"/>
        <v>Low</v>
      </c>
    </row>
    <row r="387" spans="1:5" x14ac:dyDescent="0.25">
      <c r="A387" s="4" t="s">
        <v>301</v>
      </c>
      <c r="B387" s="4" t="s">
        <v>37</v>
      </c>
      <c r="C387" s="4">
        <v>34</v>
      </c>
      <c r="D387" s="26">
        <v>1397504</v>
      </c>
      <c r="E387" s="6" t="str">
        <f t="shared" ref="E387:E450" si="6">VLOOKUP(D387,$G$14:$I$18,3,1)</f>
        <v>Low</v>
      </c>
    </row>
    <row r="388" spans="1:5" x14ac:dyDescent="0.25">
      <c r="A388" s="4" t="s">
        <v>111</v>
      </c>
      <c r="B388" s="4" t="s">
        <v>57</v>
      </c>
      <c r="C388" s="4">
        <v>23</v>
      </c>
      <c r="D388" s="26">
        <v>1397504</v>
      </c>
      <c r="E388" s="6" t="str">
        <f t="shared" si="6"/>
        <v>Low</v>
      </c>
    </row>
    <row r="389" spans="1:5" x14ac:dyDescent="0.25">
      <c r="A389" s="4" t="s">
        <v>312</v>
      </c>
      <c r="B389" s="4" t="s">
        <v>20</v>
      </c>
      <c r="C389" s="4">
        <v>27</v>
      </c>
      <c r="D389" s="26">
        <v>1385352</v>
      </c>
      <c r="E389" s="6" t="str">
        <f t="shared" si="6"/>
        <v>Low</v>
      </c>
    </row>
    <row r="390" spans="1:5" x14ac:dyDescent="0.25">
      <c r="A390" s="4" t="s">
        <v>73</v>
      </c>
      <c r="B390" s="4" t="s">
        <v>17</v>
      </c>
      <c r="C390" s="4">
        <v>21</v>
      </c>
      <c r="D390" s="26">
        <v>1385352</v>
      </c>
      <c r="E390" s="6" t="str">
        <f t="shared" si="6"/>
        <v>Low</v>
      </c>
    </row>
    <row r="391" spans="1:5" x14ac:dyDescent="0.25">
      <c r="A391" s="4" t="s">
        <v>393</v>
      </c>
      <c r="B391" s="4" t="s">
        <v>317</v>
      </c>
      <c r="C391" s="4">
        <v>31</v>
      </c>
      <c r="D391" s="26">
        <v>1385352</v>
      </c>
      <c r="E391" s="6" t="str">
        <f t="shared" si="6"/>
        <v>Low</v>
      </c>
    </row>
    <row r="392" spans="1:5" x14ac:dyDescent="0.25">
      <c r="A392" s="4" t="s">
        <v>256</v>
      </c>
      <c r="B392" s="4" t="s">
        <v>29</v>
      </c>
      <c r="C392" s="4">
        <v>26</v>
      </c>
      <c r="D392" s="26">
        <v>1385352</v>
      </c>
      <c r="E392" s="6" t="str">
        <f t="shared" si="6"/>
        <v>Low</v>
      </c>
    </row>
    <row r="393" spans="1:5" x14ac:dyDescent="0.25">
      <c r="A393" s="4" t="s">
        <v>436</v>
      </c>
      <c r="B393" s="4" t="s">
        <v>29</v>
      </c>
      <c r="C393" s="4">
        <v>30</v>
      </c>
      <c r="D393" s="26">
        <v>1361048</v>
      </c>
      <c r="E393" s="6" t="str">
        <f t="shared" si="6"/>
        <v>Low</v>
      </c>
    </row>
    <row r="394" spans="1:5" x14ac:dyDescent="0.25">
      <c r="A394" s="4" t="s">
        <v>762</v>
      </c>
      <c r="B394" s="4" t="s">
        <v>29</v>
      </c>
      <c r="C394" s="4">
        <v>23</v>
      </c>
      <c r="D394" s="26">
        <v>1336743</v>
      </c>
      <c r="E394" s="6" t="str">
        <f t="shared" si="6"/>
        <v>Low</v>
      </c>
    </row>
    <row r="395" spans="1:5" x14ac:dyDescent="0.25">
      <c r="A395" s="4" t="s">
        <v>654</v>
      </c>
      <c r="B395" s="4" t="s">
        <v>29</v>
      </c>
      <c r="C395" s="4">
        <v>25</v>
      </c>
      <c r="D395" s="26">
        <v>1336743</v>
      </c>
      <c r="E395" s="6" t="str">
        <f t="shared" si="6"/>
        <v>Low</v>
      </c>
    </row>
    <row r="396" spans="1:5" x14ac:dyDescent="0.25">
      <c r="A396" s="4" t="s">
        <v>123</v>
      </c>
      <c r="B396" s="4" t="s">
        <v>124</v>
      </c>
      <c r="C396" s="4">
        <v>26</v>
      </c>
      <c r="D396" s="26">
        <v>1324591</v>
      </c>
      <c r="E396" s="6" t="str">
        <f t="shared" si="6"/>
        <v>Low</v>
      </c>
    </row>
    <row r="397" spans="1:5" x14ac:dyDescent="0.25">
      <c r="A397" s="4" t="s">
        <v>300</v>
      </c>
      <c r="B397" s="4" t="s">
        <v>185</v>
      </c>
      <c r="C397" s="4">
        <v>23</v>
      </c>
      <c r="D397" s="26">
        <v>1312439</v>
      </c>
      <c r="E397" s="6" t="str">
        <f t="shared" si="6"/>
        <v>Low</v>
      </c>
    </row>
    <row r="398" spans="1:5" x14ac:dyDescent="0.25">
      <c r="A398" s="4" t="s">
        <v>364</v>
      </c>
      <c r="B398" s="4" t="s">
        <v>57</v>
      </c>
      <c r="C398" s="4">
        <v>25</v>
      </c>
      <c r="D398" s="26">
        <v>1288134</v>
      </c>
      <c r="E398" s="6" t="str">
        <f t="shared" si="6"/>
        <v>Low</v>
      </c>
    </row>
    <row r="399" spans="1:5" x14ac:dyDescent="0.25">
      <c r="A399" s="4" t="s">
        <v>647</v>
      </c>
      <c r="B399" s="4" t="s">
        <v>648</v>
      </c>
      <c r="C399" s="4">
        <v>31</v>
      </c>
      <c r="D399" s="26">
        <v>1275982</v>
      </c>
      <c r="E399" s="6" t="str">
        <f t="shared" si="6"/>
        <v>Low</v>
      </c>
    </row>
    <row r="400" spans="1:5" x14ac:dyDescent="0.25">
      <c r="A400" s="4" t="s">
        <v>844</v>
      </c>
      <c r="B400" s="4" t="s">
        <v>60</v>
      </c>
      <c r="C400" s="4">
        <v>22</v>
      </c>
      <c r="D400" s="26">
        <v>1263830</v>
      </c>
      <c r="E400" s="6" t="str">
        <f t="shared" si="6"/>
        <v>Low</v>
      </c>
    </row>
    <row r="401" spans="1:5" x14ac:dyDescent="0.25">
      <c r="A401" s="4" t="s">
        <v>254</v>
      </c>
      <c r="B401" s="4" t="s">
        <v>127</v>
      </c>
      <c r="C401" s="4">
        <v>29</v>
      </c>
      <c r="D401" s="26">
        <v>1263830</v>
      </c>
      <c r="E401" s="6" t="str">
        <f t="shared" si="6"/>
        <v>Low</v>
      </c>
    </row>
    <row r="402" spans="1:5" x14ac:dyDescent="0.25">
      <c r="A402" s="4" t="s">
        <v>139</v>
      </c>
      <c r="B402" s="4" t="s">
        <v>41</v>
      </c>
      <c r="C402" s="4">
        <v>25</v>
      </c>
      <c r="D402" s="26">
        <v>1263830</v>
      </c>
      <c r="E402" s="6" t="str">
        <f t="shared" si="6"/>
        <v>Low</v>
      </c>
    </row>
    <row r="403" spans="1:5" x14ac:dyDescent="0.25">
      <c r="A403" s="4" t="s">
        <v>448</v>
      </c>
      <c r="B403" s="4" t="s">
        <v>29</v>
      </c>
      <c r="C403" s="4">
        <v>24</v>
      </c>
      <c r="D403" s="26">
        <v>1263830</v>
      </c>
      <c r="E403" s="6" t="str">
        <f t="shared" si="6"/>
        <v>Low</v>
      </c>
    </row>
    <row r="404" spans="1:5" x14ac:dyDescent="0.25">
      <c r="A404" s="4" t="s">
        <v>231</v>
      </c>
      <c r="B404" s="4" t="s">
        <v>29</v>
      </c>
      <c r="C404" s="4">
        <v>29</v>
      </c>
      <c r="D404" s="26">
        <v>1263830</v>
      </c>
      <c r="E404" s="6" t="str">
        <f t="shared" si="6"/>
        <v>Low</v>
      </c>
    </row>
    <row r="405" spans="1:5" x14ac:dyDescent="0.25">
      <c r="A405" s="4" t="s">
        <v>478</v>
      </c>
      <c r="B405" s="4" t="s">
        <v>479</v>
      </c>
      <c r="C405" s="4">
        <v>25</v>
      </c>
      <c r="D405" s="26">
        <v>1263830</v>
      </c>
      <c r="E405" s="6" t="str">
        <f t="shared" si="6"/>
        <v>Low</v>
      </c>
    </row>
    <row r="406" spans="1:5" x14ac:dyDescent="0.25">
      <c r="A406" s="4" t="s">
        <v>92</v>
      </c>
      <c r="B406" s="4" t="s">
        <v>52</v>
      </c>
      <c r="C406" s="4">
        <v>28</v>
      </c>
      <c r="D406" s="26">
        <v>1263830</v>
      </c>
      <c r="E406" s="6" t="str">
        <f t="shared" si="6"/>
        <v>Low</v>
      </c>
    </row>
    <row r="407" spans="1:5" x14ac:dyDescent="0.25">
      <c r="A407" s="4" t="s">
        <v>457</v>
      </c>
      <c r="B407" s="4" t="s">
        <v>29</v>
      </c>
      <c r="C407" s="4">
        <v>21</v>
      </c>
      <c r="D407" s="26">
        <v>1263830</v>
      </c>
      <c r="E407" s="6" t="str">
        <f t="shared" si="6"/>
        <v>Low</v>
      </c>
    </row>
    <row r="408" spans="1:5" x14ac:dyDescent="0.25">
      <c r="A408" s="4" t="s">
        <v>462</v>
      </c>
      <c r="B408" s="4" t="s">
        <v>353</v>
      </c>
      <c r="C408" s="4">
        <v>24</v>
      </c>
      <c r="D408" s="26">
        <v>1263830</v>
      </c>
      <c r="E408" s="6" t="str">
        <f t="shared" si="6"/>
        <v>Low</v>
      </c>
    </row>
    <row r="409" spans="1:5" x14ac:dyDescent="0.25">
      <c r="A409" s="4" t="s">
        <v>633</v>
      </c>
      <c r="B409" s="4" t="s">
        <v>17</v>
      </c>
      <c r="C409" s="4">
        <v>21</v>
      </c>
      <c r="D409" s="26">
        <v>1263830</v>
      </c>
      <c r="E409" s="6" t="str">
        <f t="shared" si="6"/>
        <v>Low</v>
      </c>
    </row>
    <row r="410" spans="1:5" x14ac:dyDescent="0.25">
      <c r="A410" s="4" t="s">
        <v>363</v>
      </c>
      <c r="B410" s="4" t="s">
        <v>67</v>
      </c>
      <c r="C410" s="4">
        <v>27</v>
      </c>
      <c r="D410" s="26">
        <v>1263830</v>
      </c>
      <c r="E410" s="6" t="str">
        <f t="shared" si="6"/>
        <v>Low</v>
      </c>
    </row>
    <row r="411" spans="1:5" x14ac:dyDescent="0.25">
      <c r="A411" s="4" t="s">
        <v>270</v>
      </c>
      <c r="B411" s="4" t="s">
        <v>67</v>
      </c>
      <c r="C411" s="4">
        <v>25</v>
      </c>
      <c r="D411" s="26">
        <v>1263830</v>
      </c>
      <c r="E411" s="6" t="str">
        <f t="shared" si="6"/>
        <v>Low</v>
      </c>
    </row>
    <row r="412" spans="1:5" x14ac:dyDescent="0.25">
      <c r="A412" s="4" t="s">
        <v>166</v>
      </c>
      <c r="B412" s="4" t="s">
        <v>29</v>
      </c>
      <c r="C412" s="4">
        <v>22</v>
      </c>
      <c r="D412" s="26">
        <v>1263830</v>
      </c>
      <c r="E412" s="6" t="str">
        <f t="shared" si="6"/>
        <v>Low</v>
      </c>
    </row>
    <row r="413" spans="1:5" x14ac:dyDescent="0.25">
      <c r="A413" s="4" t="s">
        <v>802</v>
      </c>
      <c r="B413" s="4" t="s">
        <v>60</v>
      </c>
      <c r="C413" s="4">
        <v>21</v>
      </c>
      <c r="D413" s="26">
        <v>1263830</v>
      </c>
      <c r="E413" s="6" t="str">
        <f t="shared" si="6"/>
        <v>Low</v>
      </c>
    </row>
    <row r="414" spans="1:5" x14ac:dyDescent="0.25">
      <c r="A414" s="4" t="s">
        <v>597</v>
      </c>
      <c r="B414" s="4" t="s">
        <v>29</v>
      </c>
      <c r="C414" s="4">
        <v>24</v>
      </c>
      <c r="D414" s="26">
        <v>1263830</v>
      </c>
      <c r="E414" s="6" t="str">
        <f t="shared" si="6"/>
        <v>Low</v>
      </c>
    </row>
    <row r="415" spans="1:5" x14ac:dyDescent="0.25">
      <c r="A415" s="4" t="s">
        <v>461</v>
      </c>
      <c r="B415" s="4" t="s">
        <v>62</v>
      </c>
      <c r="C415" s="4">
        <v>28</v>
      </c>
      <c r="D415" s="26">
        <v>1227373</v>
      </c>
      <c r="E415" s="6" t="str">
        <f t="shared" si="6"/>
        <v>Low</v>
      </c>
    </row>
    <row r="416" spans="1:5" x14ac:dyDescent="0.25">
      <c r="A416" s="4" t="s">
        <v>571</v>
      </c>
      <c r="B416" s="4" t="s">
        <v>241</v>
      </c>
      <c r="C416" s="4">
        <v>19</v>
      </c>
      <c r="D416" s="26">
        <v>1215221</v>
      </c>
      <c r="E416" s="6" t="str">
        <f t="shared" si="6"/>
        <v>Low</v>
      </c>
    </row>
    <row r="417" spans="1:5" x14ac:dyDescent="0.25">
      <c r="A417" s="4" t="s">
        <v>271</v>
      </c>
      <c r="B417" s="4" t="s">
        <v>29</v>
      </c>
      <c r="C417" s="4">
        <v>21</v>
      </c>
      <c r="D417" s="26">
        <v>1215221</v>
      </c>
      <c r="E417" s="6" t="str">
        <f t="shared" si="6"/>
        <v>Low</v>
      </c>
    </row>
    <row r="418" spans="1:5" x14ac:dyDescent="0.25">
      <c r="A418" s="4" t="s">
        <v>74</v>
      </c>
      <c r="B418" s="4" t="s">
        <v>75</v>
      </c>
      <c r="C418" s="4">
        <v>31</v>
      </c>
      <c r="D418" s="26">
        <v>1215221</v>
      </c>
      <c r="E418" s="6" t="str">
        <f t="shared" si="6"/>
        <v>Low</v>
      </c>
    </row>
    <row r="419" spans="1:5" x14ac:dyDescent="0.25">
      <c r="A419" s="4" t="s">
        <v>507</v>
      </c>
      <c r="B419" s="4" t="s">
        <v>508</v>
      </c>
      <c r="C419" s="4">
        <v>25</v>
      </c>
      <c r="D419" s="26">
        <v>1215221</v>
      </c>
      <c r="E419" s="6" t="str">
        <f t="shared" si="6"/>
        <v>Low</v>
      </c>
    </row>
    <row r="420" spans="1:5" x14ac:dyDescent="0.25">
      <c r="A420" s="4" t="s">
        <v>230</v>
      </c>
      <c r="B420" s="4" t="s">
        <v>17</v>
      </c>
      <c r="C420" s="4">
        <v>20</v>
      </c>
      <c r="D420" s="26">
        <v>1215221</v>
      </c>
      <c r="E420" s="6" t="str">
        <f t="shared" si="6"/>
        <v>Low</v>
      </c>
    </row>
    <row r="421" spans="1:5" x14ac:dyDescent="0.25">
      <c r="A421" s="4" t="s">
        <v>153</v>
      </c>
      <c r="B421" s="4" t="s">
        <v>29</v>
      </c>
      <c r="C421" s="4">
        <v>29</v>
      </c>
      <c r="D421" s="26">
        <v>1215221</v>
      </c>
      <c r="E421" s="6" t="str">
        <f t="shared" si="6"/>
        <v>Low</v>
      </c>
    </row>
    <row r="422" spans="1:5" x14ac:dyDescent="0.25">
      <c r="A422" s="4" t="s">
        <v>198</v>
      </c>
      <c r="B422" s="4" t="s">
        <v>29</v>
      </c>
      <c r="C422" s="4">
        <v>22</v>
      </c>
      <c r="D422" s="26">
        <v>1178765</v>
      </c>
      <c r="E422" s="6" t="str">
        <f t="shared" si="6"/>
        <v>Low</v>
      </c>
    </row>
    <row r="423" spans="1:5" x14ac:dyDescent="0.25">
      <c r="A423" s="4" t="s">
        <v>368</v>
      </c>
      <c r="B423" s="4" t="s">
        <v>219</v>
      </c>
      <c r="C423" s="4">
        <v>23</v>
      </c>
      <c r="D423" s="26">
        <v>1166612</v>
      </c>
      <c r="E423" s="6" t="str">
        <f t="shared" si="6"/>
        <v>Low</v>
      </c>
    </row>
    <row r="424" spans="1:5" x14ac:dyDescent="0.25">
      <c r="A424" s="4" t="s">
        <v>170</v>
      </c>
      <c r="B424" s="4" t="s">
        <v>83</v>
      </c>
      <c r="C424" s="4">
        <v>21</v>
      </c>
      <c r="D424" s="26">
        <v>1154460</v>
      </c>
      <c r="E424" s="6" t="str">
        <f t="shared" si="6"/>
        <v>Low</v>
      </c>
    </row>
    <row r="425" spans="1:5" x14ac:dyDescent="0.25">
      <c r="A425" s="4" t="s">
        <v>488</v>
      </c>
      <c r="B425" s="4" t="s">
        <v>29</v>
      </c>
      <c r="C425" s="4">
        <v>22</v>
      </c>
      <c r="D425" s="26">
        <v>1142308</v>
      </c>
      <c r="E425" s="6" t="str">
        <f t="shared" si="6"/>
        <v>Low</v>
      </c>
    </row>
    <row r="426" spans="1:5" x14ac:dyDescent="0.25">
      <c r="A426" s="4" t="s">
        <v>25</v>
      </c>
      <c r="B426" s="4" t="s">
        <v>26</v>
      </c>
      <c r="C426" s="4">
        <v>34</v>
      </c>
      <c r="D426" s="26">
        <v>1142308</v>
      </c>
      <c r="E426" s="6" t="str">
        <f t="shared" si="6"/>
        <v>Low</v>
      </c>
    </row>
    <row r="427" spans="1:5" x14ac:dyDescent="0.25">
      <c r="A427" s="4" t="s">
        <v>845</v>
      </c>
      <c r="B427" s="4" t="s">
        <v>20</v>
      </c>
      <c r="C427" s="4">
        <v>26</v>
      </c>
      <c r="D427" s="26">
        <v>1105851</v>
      </c>
      <c r="E427" s="6" t="str">
        <f t="shared" si="6"/>
        <v>Low</v>
      </c>
    </row>
    <row r="428" spans="1:5" x14ac:dyDescent="0.25">
      <c r="A428" s="4" t="s">
        <v>846</v>
      </c>
      <c r="B428" s="4" t="s">
        <v>41</v>
      </c>
      <c r="C428" s="4">
        <v>27</v>
      </c>
      <c r="D428" s="26">
        <v>1105851</v>
      </c>
      <c r="E428" s="6" t="str">
        <f t="shared" si="6"/>
        <v>Low</v>
      </c>
    </row>
    <row r="429" spans="1:5" x14ac:dyDescent="0.25">
      <c r="A429" s="4" t="s">
        <v>562</v>
      </c>
      <c r="B429" s="4" t="s">
        <v>55</v>
      </c>
      <c r="C429" s="4">
        <v>21</v>
      </c>
      <c r="D429" s="26">
        <v>1093699</v>
      </c>
      <c r="E429" s="6" t="str">
        <f t="shared" si="6"/>
        <v>Low</v>
      </c>
    </row>
    <row r="430" spans="1:5" x14ac:dyDescent="0.25">
      <c r="A430" s="4" t="s">
        <v>31</v>
      </c>
      <c r="B430" s="4" t="s">
        <v>32</v>
      </c>
      <c r="C430" s="4">
        <v>39</v>
      </c>
      <c r="D430" s="26">
        <v>1081547</v>
      </c>
      <c r="E430" s="6" t="str">
        <f t="shared" si="6"/>
        <v>Low</v>
      </c>
    </row>
    <row r="431" spans="1:5" x14ac:dyDescent="0.25">
      <c r="A431" s="4" t="s">
        <v>773</v>
      </c>
      <c r="B431" s="4" t="s">
        <v>165</v>
      </c>
      <c r="C431" s="4">
        <v>37</v>
      </c>
      <c r="D431" s="26">
        <v>1069395</v>
      </c>
      <c r="E431" s="6" t="str">
        <f t="shared" si="6"/>
        <v>Low</v>
      </c>
    </row>
    <row r="432" spans="1:5" x14ac:dyDescent="0.25">
      <c r="A432" s="4" t="s">
        <v>487</v>
      </c>
      <c r="B432" s="4" t="s">
        <v>122</v>
      </c>
      <c r="C432" s="4">
        <v>22</v>
      </c>
      <c r="D432" s="26">
        <v>1057242</v>
      </c>
      <c r="E432" s="6" t="str">
        <f t="shared" si="6"/>
        <v>Low</v>
      </c>
    </row>
    <row r="433" spans="1:5" x14ac:dyDescent="0.25">
      <c r="A433" s="4" t="s">
        <v>218</v>
      </c>
      <c r="B433" s="4" t="s">
        <v>219</v>
      </c>
      <c r="C433" s="4">
        <v>25</v>
      </c>
      <c r="D433" s="26">
        <v>1045090</v>
      </c>
      <c r="E433" s="6" t="str">
        <f t="shared" si="6"/>
        <v>Low</v>
      </c>
    </row>
    <row r="434" spans="1:5" x14ac:dyDescent="0.25">
      <c r="A434" s="4" t="s">
        <v>498</v>
      </c>
      <c r="B434" s="4" t="s">
        <v>29</v>
      </c>
      <c r="C434" s="4">
        <v>19</v>
      </c>
      <c r="D434" s="26">
        <v>1045090</v>
      </c>
      <c r="E434" s="6" t="str">
        <f t="shared" si="6"/>
        <v>Low</v>
      </c>
    </row>
    <row r="435" spans="1:5" x14ac:dyDescent="0.25">
      <c r="A435" s="4" t="s">
        <v>177</v>
      </c>
      <c r="B435" s="4" t="s">
        <v>29</v>
      </c>
      <c r="C435" s="4">
        <v>28</v>
      </c>
      <c r="D435" s="26">
        <v>1045090</v>
      </c>
      <c r="E435" s="6" t="str">
        <f t="shared" si="6"/>
        <v>Low</v>
      </c>
    </row>
    <row r="436" spans="1:5" x14ac:dyDescent="0.25">
      <c r="A436" s="4" t="s">
        <v>727</v>
      </c>
      <c r="B436" s="4" t="s">
        <v>55</v>
      </c>
      <c r="C436" s="4">
        <v>35</v>
      </c>
      <c r="D436" s="26">
        <v>1032938</v>
      </c>
      <c r="E436" s="6" t="str">
        <f t="shared" si="6"/>
        <v>Low</v>
      </c>
    </row>
    <row r="437" spans="1:5" x14ac:dyDescent="0.25">
      <c r="A437" s="4" t="s">
        <v>88</v>
      </c>
      <c r="B437" s="4" t="s">
        <v>29</v>
      </c>
      <c r="C437" s="4">
        <v>30</v>
      </c>
      <c r="D437" s="26">
        <v>1008634</v>
      </c>
      <c r="E437" s="6" t="str">
        <f t="shared" si="6"/>
        <v>Low</v>
      </c>
    </row>
    <row r="438" spans="1:5" x14ac:dyDescent="0.25">
      <c r="A438" s="4" t="s">
        <v>789</v>
      </c>
      <c r="B438" s="4" t="s">
        <v>127</v>
      </c>
      <c r="C438" s="4">
        <v>19</v>
      </c>
      <c r="D438" s="26">
        <v>984329</v>
      </c>
      <c r="E438" s="6" t="str">
        <f t="shared" si="6"/>
        <v>Low</v>
      </c>
    </row>
    <row r="439" spans="1:5" x14ac:dyDescent="0.25">
      <c r="A439" s="4" t="s">
        <v>560</v>
      </c>
      <c r="B439" s="4" t="s">
        <v>75</v>
      </c>
      <c r="C439" s="4">
        <v>27</v>
      </c>
      <c r="D439" s="26">
        <v>947873</v>
      </c>
      <c r="E439" s="6" t="str">
        <f t="shared" si="6"/>
        <v>Low</v>
      </c>
    </row>
    <row r="440" spans="1:5" x14ac:dyDescent="0.25">
      <c r="A440" s="4" t="s">
        <v>412</v>
      </c>
      <c r="B440" s="4" t="s">
        <v>29</v>
      </c>
      <c r="C440" s="4">
        <v>20</v>
      </c>
      <c r="D440" s="26">
        <v>947873</v>
      </c>
      <c r="E440" s="6" t="str">
        <f t="shared" si="6"/>
        <v>Low</v>
      </c>
    </row>
    <row r="441" spans="1:5" x14ac:dyDescent="0.25">
      <c r="A441" s="4" t="s">
        <v>505</v>
      </c>
      <c r="B441" s="4" t="s">
        <v>29</v>
      </c>
      <c r="C441" s="4">
        <v>24</v>
      </c>
      <c r="D441" s="26">
        <v>947873</v>
      </c>
      <c r="E441" s="6" t="str">
        <f t="shared" si="6"/>
        <v>Low</v>
      </c>
    </row>
    <row r="442" spans="1:5" x14ac:dyDescent="0.25">
      <c r="A442" s="4" t="s">
        <v>213</v>
      </c>
      <c r="B442" s="4" t="s">
        <v>29</v>
      </c>
      <c r="C442" s="4">
        <v>18</v>
      </c>
      <c r="D442" s="26">
        <v>947873</v>
      </c>
      <c r="E442" s="6" t="str">
        <f t="shared" si="6"/>
        <v>Low</v>
      </c>
    </row>
    <row r="443" spans="1:5" x14ac:dyDescent="0.25">
      <c r="A443" s="4" t="s">
        <v>752</v>
      </c>
      <c r="B443" s="4" t="s">
        <v>83</v>
      </c>
      <c r="C443" s="4">
        <v>22</v>
      </c>
      <c r="D443" s="26">
        <v>947873</v>
      </c>
      <c r="E443" s="6" t="str">
        <f t="shared" si="6"/>
        <v>Low</v>
      </c>
    </row>
    <row r="444" spans="1:5" x14ac:dyDescent="0.25">
      <c r="A444" s="4" t="s">
        <v>290</v>
      </c>
      <c r="B444" s="4" t="s">
        <v>29</v>
      </c>
      <c r="C444" s="4">
        <v>24</v>
      </c>
      <c r="D444" s="26">
        <v>947873</v>
      </c>
      <c r="E444" s="6" t="str">
        <f t="shared" si="6"/>
        <v>Low</v>
      </c>
    </row>
    <row r="445" spans="1:5" x14ac:dyDescent="0.25">
      <c r="A445" s="4" t="s">
        <v>93</v>
      </c>
      <c r="B445" s="4" t="s">
        <v>29</v>
      </c>
      <c r="C445" s="4">
        <v>24</v>
      </c>
      <c r="D445" s="26">
        <v>947873</v>
      </c>
      <c r="E445" s="6" t="str">
        <f t="shared" si="6"/>
        <v>Low</v>
      </c>
    </row>
    <row r="446" spans="1:5" x14ac:dyDescent="0.25">
      <c r="A446" s="4" t="s">
        <v>375</v>
      </c>
      <c r="B446" s="4" t="s">
        <v>376</v>
      </c>
      <c r="C446" s="4">
        <v>28</v>
      </c>
      <c r="D446" s="26">
        <v>947873</v>
      </c>
      <c r="E446" s="6" t="str">
        <f t="shared" si="6"/>
        <v>Low</v>
      </c>
    </row>
    <row r="447" spans="1:5" x14ac:dyDescent="0.25">
      <c r="A447" s="4" t="s">
        <v>847</v>
      </c>
      <c r="B447" s="4" t="s">
        <v>156</v>
      </c>
      <c r="C447" s="4">
        <v>26</v>
      </c>
      <c r="D447" s="26">
        <v>947873</v>
      </c>
      <c r="E447" s="6" t="str">
        <f t="shared" si="6"/>
        <v>Low</v>
      </c>
    </row>
    <row r="448" spans="1:5" x14ac:dyDescent="0.25">
      <c r="A448" s="4" t="s">
        <v>238</v>
      </c>
      <c r="B448" s="4" t="s">
        <v>239</v>
      </c>
      <c r="C448" s="4">
        <v>27</v>
      </c>
      <c r="D448" s="26">
        <v>947873</v>
      </c>
      <c r="E448" s="6" t="str">
        <f t="shared" si="6"/>
        <v>Low</v>
      </c>
    </row>
    <row r="449" spans="1:5" x14ac:dyDescent="0.25">
      <c r="A449" s="4" t="s">
        <v>159</v>
      </c>
      <c r="B449" s="4" t="s">
        <v>20</v>
      </c>
      <c r="C449" s="4">
        <v>24</v>
      </c>
      <c r="D449" s="26">
        <v>947873</v>
      </c>
      <c r="E449" s="6" t="str">
        <f t="shared" si="6"/>
        <v>Low</v>
      </c>
    </row>
    <row r="450" spans="1:5" x14ac:dyDescent="0.25">
      <c r="A450" s="4" t="s">
        <v>121</v>
      </c>
      <c r="B450" s="4" t="s">
        <v>122</v>
      </c>
      <c r="C450" s="4">
        <v>22</v>
      </c>
      <c r="D450" s="26">
        <v>947873</v>
      </c>
      <c r="E450" s="6" t="str">
        <f t="shared" si="6"/>
        <v>Low</v>
      </c>
    </row>
    <row r="451" spans="1:5" x14ac:dyDescent="0.25">
      <c r="A451" s="4" t="s">
        <v>548</v>
      </c>
      <c r="B451" s="4" t="s">
        <v>29</v>
      </c>
      <c r="C451" s="4">
        <v>20</v>
      </c>
      <c r="D451" s="26">
        <v>947873</v>
      </c>
      <c r="E451" s="6" t="str">
        <f t="shared" ref="E451:E514" si="7">VLOOKUP(D451,$G$14:$I$18,3,1)</f>
        <v>Low</v>
      </c>
    </row>
    <row r="452" spans="1:5" x14ac:dyDescent="0.25">
      <c r="A452" s="4" t="s">
        <v>150</v>
      </c>
      <c r="B452" s="4" t="s">
        <v>29</v>
      </c>
      <c r="C452" s="4">
        <v>19</v>
      </c>
      <c r="D452" s="26">
        <v>947873</v>
      </c>
      <c r="E452" s="6" t="str">
        <f t="shared" si="7"/>
        <v>Low</v>
      </c>
    </row>
    <row r="453" spans="1:5" x14ac:dyDescent="0.25">
      <c r="A453" s="4" t="s">
        <v>289</v>
      </c>
      <c r="B453" s="4" t="s">
        <v>29</v>
      </c>
      <c r="C453" s="4">
        <v>24</v>
      </c>
      <c r="D453" s="26">
        <v>947873</v>
      </c>
      <c r="E453" s="6" t="str">
        <f t="shared" si="7"/>
        <v>Low</v>
      </c>
    </row>
    <row r="454" spans="1:5" x14ac:dyDescent="0.25">
      <c r="A454" s="4" t="s">
        <v>283</v>
      </c>
      <c r="B454" s="4" t="s">
        <v>284</v>
      </c>
      <c r="C454" s="4">
        <v>23</v>
      </c>
      <c r="D454" s="26">
        <v>935720</v>
      </c>
      <c r="E454" s="6" t="str">
        <f t="shared" si="7"/>
        <v>Low</v>
      </c>
    </row>
    <row r="455" spans="1:5" x14ac:dyDescent="0.25">
      <c r="A455" s="4" t="s">
        <v>621</v>
      </c>
      <c r="B455" s="4" t="s">
        <v>219</v>
      </c>
      <c r="C455" s="4">
        <v>23</v>
      </c>
      <c r="D455" s="26">
        <v>887111</v>
      </c>
      <c r="E455" s="6" t="str">
        <f t="shared" si="7"/>
        <v>Low</v>
      </c>
    </row>
    <row r="456" spans="1:5" x14ac:dyDescent="0.25">
      <c r="A456" s="4" t="s">
        <v>535</v>
      </c>
      <c r="B456" s="4" t="s">
        <v>29</v>
      </c>
      <c r="C456" s="4">
        <v>19</v>
      </c>
      <c r="D456" s="26">
        <v>850655</v>
      </c>
      <c r="E456" s="6" t="str">
        <f t="shared" si="7"/>
        <v>Low</v>
      </c>
    </row>
    <row r="457" spans="1:5" x14ac:dyDescent="0.25">
      <c r="A457" s="4" t="s">
        <v>848</v>
      </c>
      <c r="C457" s="4">
        <v>18</v>
      </c>
      <c r="D457" s="26">
        <v>850655</v>
      </c>
      <c r="E457" s="6" t="str">
        <f t="shared" si="7"/>
        <v>Low</v>
      </c>
    </row>
    <row r="458" spans="1:5" x14ac:dyDescent="0.25">
      <c r="A458" s="4" t="s">
        <v>489</v>
      </c>
      <c r="B458" s="4" t="s">
        <v>219</v>
      </c>
      <c r="C458" s="4">
        <v>23</v>
      </c>
      <c r="D458" s="26">
        <v>826350</v>
      </c>
      <c r="E458" s="6" t="str">
        <f t="shared" si="7"/>
        <v>Low</v>
      </c>
    </row>
    <row r="459" spans="1:5" x14ac:dyDescent="0.25">
      <c r="A459" s="4" t="s">
        <v>513</v>
      </c>
      <c r="B459" s="4" t="s">
        <v>14</v>
      </c>
      <c r="C459" s="4">
        <v>19</v>
      </c>
      <c r="D459" s="26">
        <v>789894</v>
      </c>
      <c r="E459" s="6" t="str">
        <f t="shared" si="7"/>
        <v>Low</v>
      </c>
    </row>
    <row r="460" spans="1:5" x14ac:dyDescent="0.25">
      <c r="A460" s="4" t="s">
        <v>566</v>
      </c>
      <c r="B460" s="4" t="s">
        <v>29</v>
      </c>
      <c r="C460" s="4">
        <v>22</v>
      </c>
      <c r="D460" s="26">
        <v>789894</v>
      </c>
      <c r="E460" s="6" t="str">
        <f t="shared" si="7"/>
        <v>Low</v>
      </c>
    </row>
    <row r="461" spans="1:5" x14ac:dyDescent="0.25">
      <c r="A461" s="4" t="s">
        <v>849</v>
      </c>
      <c r="B461" s="4" t="s">
        <v>850</v>
      </c>
      <c r="C461" s="4">
        <v>24</v>
      </c>
      <c r="D461" s="26">
        <v>789894</v>
      </c>
      <c r="E461" s="6" t="str">
        <f t="shared" si="7"/>
        <v>Low</v>
      </c>
    </row>
    <row r="462" spans="1:5" x14ac:dyDescent="0.25">
      <c r="A462" s="4" t="s">
        <v>367</v>
      </c>
      <c r="B462" s="4" t="s">
        <v>55</v>
      </c>
      <c r="C462" s="4">
        <v>19</v>
      </c>
      <c r="D462" s="26">
        <v>765589</v>
      </c>
      <c r="E462" s="6" t="str">
        <f t="shared" si="7"/>
        <v>Low</v>
      </c>
    </row>
    <row r="463" spans="1:5" x14ac:dyDescent="0.25">
      <c r="A463" s="4" t="s">
        <v>556</v>
      </c>
      <c r="B463" s="4" t="s">
        <v>91</v>
      </c>
      <c r="C463" s="4">
        <v>21</v>
      </c>
      <c r="D463" s="26">
        <v>765589</v>
      </c>
      <c r="E463" s="6" t="str">
        <f t="shared" si="7"/>
        <v>Low</v>
      </c>
    </row>
    <row r="464" spans="1:5" x14ac:dyDescent="0.25">
      <c r="A464" s="4" t="s">
        <v>51</v>
      </c>
      <c r="B464" s="4" t="s">
        <v>52</v>
      </c>
      <c r="C464" s="4">
        <v>34</v>
      </c>
      <c r="D464" s="26">
        <v>753437</v>
      </c>
      <c r="E464" s="6" t="str">
        <f t="shared" si="7"/>
        <v>Low</v>
      </c>
    </row>
    <row r="465" spans="1:5" x14ac:dyDescent="0.25">
      <c r="A465" s="4" t="s">
        <v>610</v>
      </c>
      <c r="B465" s="4" t="s">
        <v>29</v>
      </c>
      <c r="C465" s="4">
        <v>21</v>
      </c>
      <c r="D465" s="26">
        <v>753437</v>
      </c>
      <c r="E465" s="6" t="str">
        <f t="shared" si="7"/>
        <v>Low</v>
      </c>
    </row>
    <row r="466" spans="1:5" x14ac:dyDescent="0.25">
      <c r="A466" s="4" t="s">
        <v>259</v>
      </c>
      <c r="B466" s="4" t="s">
        <v>29</v>
      </c>
      <c r="C466" s="4">
        <v>24</v>
      </c>
      <c r="D466" s="26">
        <v>753437</v>
      </c>
      <c r="E466" s="6" t="str">
        <f t="shared" si="7"/>
        <v>Low</v>
      </c>
    </row>
    <row r="467" spans="1:5" x14ac:dyDescent="0.25">
      <c r="A467" s="4" t="s">
        <v>134</v>
      </c>
      <c r="B467" s="4" t="s">
        <v>135</v>
      </c>
      <c r="C467" s="4">
        <v>23</v>
      </c>
      <c r="D467" s="26">
        <v>753437</v>
      </c>
      <c r="E467" s="6" t="str">
        <f t="shared" si="7"/>
        <v>Low</v>
      </c>
    </row>
    <row r="468" spans="1:5" x14ac:dyDescent="0.25">
      <c r="A468" s="4" t="s">
        <v>575</v>
      </c>
      <c r="B468" s="4" t="s">
        <v>284</v>
      </c>
      <c r="C468" s="4">
        <v>24</v>
      </c>
      <c r="D468" s="26">
        <v>753437</v>
      </c>
      <c r="E468" s="6" t="str">
        <f t="shared" si="7"/>
        <v>Low</v>
      </c>
    </row>
    <row r="469" spans="1:5" x14ac:dyDescent="0.25">
      <c r="A469" s="4" t="s">
        <v>398</v>
      </c>
      <c r="B469" s="4" t="s">
        <v>14</v>
      </c>
      <c r="C469" s="4">
        <v>26</v>
      </c>
      <c r="D469" s="26">
        <v>741285</v>
      </c>
      <c r="E469" s="6" t="str">
        <f t="shared" si="7"/>
        <v>Low</v>
      </c>
    </row>
    <row r="470" spans="1:5" x14ac:dyDescent="0.25">
      <c r="A470" s="4" t="s">
        <v>189</v>
      </c>
      <c r="B470" s="4" t="s">
        <v>29</v>
      </c>
      <c r="C470" s="4">
        <v>19</v>
      </c>
      <c r="D470" s="26">
        <v>729133</v>
      </c>
      <c r="E470" s="6" t="str">
        <f t="shared" si="7"/>
        <v>Low</v>
      </c>
    </row>
    <row r="471" spans="1:5" x14ac:dyDescent="0.25">
      <c r="A471" s="4" t="s">
        <v>429</v>
      </c>
      <c r="B471" s="4" t="s">
        <v>29</v>
      </c>
      <c r="C471" s="4">
        <v>20</v>
      </c>
      <c r="D471" s="26">
        <v>729133</v>
      </c>
      <c r="E471" s="6" t="str">
        <f t="shared" si="7"/>
        <v>Low</v>
      </c>
    </row>
    <row r="472" spans="1:5" x14ac:dyDescent="0.25">
      <c r="A472" s="4" t="s">
        <v>732</v>
      </c>
      <c r="B472" s="4" t="s">
        <v>29</v>
      </c>
      <c r="C472" s="4">
        <v>29</v>
      </c>
      <c r="D472" s="26">
        <v>729133</v>
      </c>
      <c r="E472" s="6" t="str">
        <f t="shared" si="7"/>
        <v>Low</v>
      </c>
    </row>
    <row r="473" spans="1:5" x14ac:dyDescent="0.25">
      <c r="A473" s="4" t="s">
        <v>56</v>
      </c>
      <c r="B473" s="4" t="s">
        <v>57</v>
      </c>
      <c r="C473" s="4">
        <v>20</v>
      </c>
      <c r="D473" s="26">
        <v>692676</v>
      </c>
      <c r="E473" s="6" t="str">
        <f t="shared" si="7"/>
        <v>Low</v>
      </c>
    </row>
    <row r="474" spans="1:5" x14ac:dyDescent="0.25">
      <c r="A474" s="4" t="s">
        <v>308</v>
      </c>
      <c r="B474" s="4" t="s">
        <v>29</v>
      </c>
      <c r="C474" s="4">
        <v>34</v>
      </c>
      <c r="D474" s="26">
        <v>668372</v>
      </c>
      <c r="E474" s="6" t="str">
        <f t="shared" si="7"/>
        <v>Low</v>
      </c>
    </row>
    <row r="475" spans="1:5" x14ac:dyDescent="0.25">
      <c r="A475" s="4" t="s">
        <v>179</v>
      </c>
      <c r="B475" s="4" t="s">
        <v>55</v>
      </c>
      <c r="C475" s="4">
        <v>20</v>
      </c>
      <c r="D475" s="26">
        <v>644067</v>
      </c>
      <c r="E475" s="6" t="str">
        <f t="shared" si="7"/>
        <v>Low</v>
      </c>
    </row>
    <row r="476" spans="1:5" x14ac:dyDescent="0.25">
      <c r="A476" s="4" t="s">
        <v>414</v>
      </c>
      <c r="B476" s="4" t="s">
        <v>67</v>
      </c>
      <c r="C476" s="4">
        <v>23</v>
      </c>
      <c r="D476" s="26">
        <v>631915</v>
      </c>
      <c r="E476" s="6" t="str">
        <f t="shared" si="7"/>
        <v>Low</v>
      </c>
    </row>
    <row r="477" spans="1:5" x14ac:dyDescent="0.25">
      <c r="A477" s="4" t="s">
        <v>820</v>
      </c>
      <c r="B477" s="4" t="s">
        <v>29</v>
      </c>
      <c r="C477" s="4">
        <v>20</v>
      </c>
      <c r="D477" s="26">
        <v>631915</v>
      </c>
      <c r="E477" s="6" t="str">
        <f t="shared" si="7"/>
        <v>Low</v>
      </c>
    </row>
    <row r="478" spans="1:5" x14ac:dyDescent="0.25">
      <c r="A478" s="4" t="s">
        <v>477</v>
      </c>
      <c r="B478" s="4" t="s">
        <v>29</v>
      </c>
      <c r="C478" s="4">
        <v>23</v>
      </c>
      <c r="D478" s="26">
        <v>631915</v>
      </c>
      <c r="E478" s="6" t="str">
        <f t="shared" si="7"/>
        <v>Low</v>
      </c>
    </row>
    <row r="479" spans="1:5" x14ac:dyDescent="0.25">
      <c r="A479" s="4" t="s">
        <v>146</v>
      </c>
      <c r="B479" s="4" t="s">
        <v>67</v>
      </c>
      <c r="C479" s="4">
        <v>20</v>
      </c>
      <c r="D479" s="26">
        <v>631915</v>
      </c>
      <c r="E479" s="6" t="str">
        <f t="shared" si="7"/>
        <v>Low</v>
      </c>
    </row>
    <row r="480" spans="1:5" x14ac:dyDescent="0.25">
      <c r="A480" s="4" t="s">
        <v>268</v>
      </c>
      <c r="B480" s="4" t="s">
        <v>62</v>
      </c>
      <c r="C480" s="4">
        <v>23</v>
      </c>
      <c r="D480" s="26">
        <v>631915</v>
      </c>
      <c r="E480" s="6" t="str">
        <f t="shared" si="7"/>
        <v>Low</v>
      </c>
    </row>
    <row r="481" spans="1:5" x14ac:dyDescent="0.25">
      <c r="A481" s="4" t="s">
        <v>526</v>
      </c>
      <c r="B481" s="4" t="s">
        <v>41</v>
      </c>
      <c r="C481" s="4">
        <v>22</v>
      </c>
      <c r="D481" s="26">
        <v>631915</v>
      </c>
      <c r="E481" s="6" t="str">
        <f t="shared" si="7"/>
        <v>Low</v>
      </c>
    </row>
    <row r="482" spans="1:5" x14ac:dyDescent="0.25">
      <c r="A482" s="4" t="s">
        <v>84</v>
      </c>
      <c r="B482" s="4" t="s">
        <v>20</v>
      </c>
      <c r="C482" s="4">
        <v>23</v>
      </c>
      <c r="D482" s="26">
        <v>631915</v>
      </c>
      <c r="E482" s="6" t="str">
        <f t="shared" si="7"/>
        <v>Low</v>
      </c>
    </row>
    <row r="483" spans="1:5" x14ac:dyDescent="0.25">
      <c r="A483" s="4" t="s">
        <v>501</v>
      </c>
      <c r="B483" s="4" t="s">
        <v>29</v>
      </c>
      <c r="C483" s="4">
        <v>20</v>
      </c>
      <c r="D483" s="26">
        <v>631915</v>
      </c>
      <c r="E483" s="6" t="str">
        <f t="shared" si="7"/>
        <v>Low</v>
      </c>
    </row>
    <row r="484" spans="1:5" x14ac:dyDescent="0.25">
      <c r="A484" s="4" t="s">
        <v>385</v>
      </c>
      <c r="B484" s="4" t="s">
        <v>52</v>
      </c>
      <c r="C484" s="4">
        <v>23</v>
      </c>
      <c r="D484" s="26">
        <v>607611</v>
      </c>
      <c r="E484" s="6" t="str">
        <f t="shared" si="7"/>
        <v>Low</v>
      </c>
    </row>
    <row r="485" spans="1:5" x14ac:dyDescent="0.25">
      <c r="A485" s="4" t="s">
        <v>408</v>
      </c>
      <c r="B485" s="4" t="s">
        <v>409</v>
      </c>
      <c r="C485" s="4">
        <v>24</v>
      </c>
      <c r="D485" s="26">
        <v>595458</v>
      </c>
      <c r="E485" s="6" t="str">
        <f t="shared" si="7"/>
        <v>Low</v>
      </c>
    </row>
    <row r="486" spans="1:5" x14ac:dyDescent="0.25">
      <c r="A486" s="4" t="s">
        <v>274</v>
      </c>
      <c r="B486" s="4" t="s">
        <v>67</v>
      </c>
      <c r="C486" s="4">
        <v>31</v>
      </c>
      <c r="D486" s="26">
        <v>583306</v>
      </c>
      <c r="E486" s="6" t="str">
        <f t="shared" si="7"/>
        <v>Low</v>
      </c>
    </row>
    <row r="487" spans="1:5" x14ac:dyDescent="0.25">
      <c r="A487" s="4" t="s">
        <v>607</v>
      </c>
      <c r="B487" s="4" t="s">
        <v>75</v>
      </c>
      <c r="C487" s="4">
        <v>19</v>
      </c>
      <c r="D487" s="26">
        <v>571154</v>
      </c>
      <c r="E487" s="6" t="str">
        <f t="shared" si="7"/>
        <v>Low</v>
      </c>
    </row>
    <row r="488" spans="1:5" x14ac:dyDescent="0.25">
      <c r="A488" s="4" t="s">
        <v>42</v>
      </c>
      <c r="B488" s="4" t="s">
        <v>20</v>
      </c>
      <c r="C488" s="4">
        <v>23</v>
      </c>
      <c r="D488" s="26">
        <v>534697</v>
      </c>
      <c r="E488" s="6" t="str">
        <f t="shared" si="7"/>
        <v>Low</v>
      </c>
    </row>
    <row r="489" spans="1:5" x14ac:dyDescent="0.25">
      <c r="A489" s="4" t="s">
        <v>277</v>
      </c>
      <c r="B489" s="4" t="s">
        <v>29</v>
      </c>
      <c r="C489" s="4">
        <v>23</v>
      </c>
      <c r="D489" s="26">
        <v>522545</v>
      </c>
      <c r="E489" s="6" t="str">
        <f t="shared" si="7"/>
        <v>Low</v>
      </c>
    </row>
    <row r="490" spans="1:5" x14ac:dyDescent="0.25">
      <c r="A490" s="4" t="s">
        <v>851</v>
      </c>
      <c r="B490" s="4" t="s">
        <v>29</v>
      </c>
      <c r="C490" s="4">
        <v>26</v>
      </c>
      <c r="D490" s="26">
        <v>510393</v>
      </c>
      <c r="E490" s="6" t="str">
        <f t="shared" si="7"/>
        <v>Low</v>
      </c>
    </row>
    <row r="491" spans="1:5" x14ac:dyDescent="0.25">
      <c r="A491" s="4" t="s">
        <v>130</v>
      </c>
      <c r="B491" s="4" t="s">
        <v>29</v>
      </c>
      <c r="C491" s="4">
        <v>29</v>
      </c>
      <c r="D491" s="26">
        <v>510393</v>
      </c>
      <c r="E491" s="6" t="str">
        <f t="shared" si="7"/>
        <v>Low</v>
      </c>
    </row>
    <row r="492" spans="1:5" x14ac:dyDescent="0.25">
      <c r="A492" s="4" t="s">
        <v>190</v>
      </c>
      <c r="B492" s="4" t="s">
        <v>165</v>
      </c>
      <c r="C492" s="4">
        <v>30</v>
      </c>
      <c r="D492" s="26">
        <v>510393</v>
      </c>
      <c r="E492" s="6" t="str">
        <f t="shared" si="7"/>
        <v>Low</v>
      </c>
    </row>
    <row r="493" spans="1:5" x14ac:dyDescent="0.25">
      <c r="A493" s="4" t="s">
        <v>295</v>
      </c>
      <c r="B493" s="4" t="s">
        <v>29</v>
      </c>
      <c r="C493" s="4">
        <v>23</v>
      </c>
      <c r="D493" s="26">
        <v>510393</v>
      </c>
      <c r="E493" s="6" t="str">
        <f t="shared" si="7"/>
        <v>Low</v>
      </c>
    </row>
    <row r="494" spans="1:5" x14ac:dyDescent="0.25">
      <c r="A494" s="4" t="s">
        <v>89</v>
      </c>
      <c r="B494" s="4" t="s">
        <v>29</v>
      </c>
      <c r="C494" s="4">
        <v>28</v>
      </c>
      <c r="D494" s="26">
        <v>510393</v>
      </c>
      <c r="E494" s="6" t="str">
        <f t="shared" si="7"/>
        <v>Low</v>
      </c>
    </row>
    <row r="495" spans="1:5" x14ac:dyDescent="0.25">
      <c r="A495" s="4" t="s">
        <v>255</v>
      </c>
      <c r="B495" s="4" t="s">
        <v>29</v>
      </c>
      <c r="C495" s="4">
        <v>26</v>
      </c>
      <c r="D495" s="26">
        <v>510393</v>
      </c>
      <c r="E495" s="6" t="str">
        <f t="shared" si="7"/>
        <v>Low</v>
      </c>
    </row>
    <row r="496" spans="1:5" x14ac:dyDescent="0.25">
      <c r="A496" s="4" t="s">
        <v>852</v>
      </c>
      <c r="B496" s="4" t="s">
        <v>29</v>
      </c>
      <c r="C496" s="4">
        <v>35</v>
      </c>
      <c r="D496" s="26">
        <v>505532</v>
      </c>
      <c r="E496" s="6" t="str">
        <f t="shared" si="7"/>
        <v>Low</v>
      </c>
    </row>
    <row r="497" spans="1:5" x14ac:dyDescent="0.25">
      <c r="A497" s="4" t="s">
        <v>291</v>
      </c>
      <c r="B497" s="4" t="s">
        <v>41</v>
      </c>
      <c r="C497" s="4">
        <v>31</v>
      </c>
      <c r="D497" s="26">
        <v>486088</v>
      </c>
      <c r="E497" s="6" t="str">
        <f t="shared" si="7"/>
        <v>Low</v>
      </c>
    </row>
    <row r="498" spans="1:5" x14ac:dyDescent="0.25">
      <c r="A498" s="4" t="s">
        <v>240</v>
      </c>
      <c r="B498" s="4" t="s">
        <v>241</v>
      </c>
      <c r="C498" s="4">
        <v>25</v>
      </c>
      <c r="D498" s="26">
        <v>473936</v>
      </c>
      <c r="E498" s="6" t="str">
        <f t="shared" si="7"/>
        <v>Low</v>
      </c>
    </row>
    <row r="499" spans="1:5" x14ac:dyDescent="0.25">
      <c r="A499" s="4" t="s">
        <v>491</v>
      </c>
      <c r="B499" s="4" t="s">
        <v>29</v>
      </c>
      <c r="C499" s="4">
        <v>23</v>
      </c>
      <c r="D499" s="26">
        <v>473936</v>
      </c>
      <c r="E499" s="6" t="str">
        <f t="shared" si="7"/>
        <v>Low</v>
      </c>
    </row>
    <row r="500" spans="1:5" x14ac:dyDescent="0.25">
      <c r="A500" s="4" t="s">
        <v>272</v>
      </c>
      <c r="B500" s="4" t="s">
        <v>29</v>
      </c>
      <c r="C500" s="4">
        <v>20</v>
      </c>
      <c r="D500" s="26">
        <v>473936</v>
      </c>
      <c r="E500" s="6" t="str">
        <f t="shared" si="7"/>
        <v>Low</v>
      </c>
    </row>
    <row r="501" spans="1:5" x14ac:dyDescent="0.25">
      <c r="A501" s="4" t="s">
        <v>378</v>
      </c>
      <c r="B501" s="4" t="s">
        <v>29</v>
      </c>
      <c r="C501" s="4">
        <v>20</v>
      </c>
      <c r="D501" s="26">
        <v>473936</v>
      </c>
      <c r="E501" s="6" t="str">
        <f t="shared" si="7"/>
        <v>Low</v>
      </c>
    </row>
    <row r="502" spans="1:5" x14ac:dyDescent="0.25">
      <c r="A502" s="4" t="s">
        <v>172</v>
      </c>
      <c r="B502" s="4" t="s">
        <v>29</v>
      </c>
      <c r="C502" s="4">
        <v>23</v>
      </c>
      <c r="D502" s="26">
        <v>473936</v>
      </c>
      <c r="E502" s="6" t="str">
        <f t="shared" si="7"/>
        <v>Low</v>
      </c>
    </row>
    <row r="503" spans="1:5" x14ac:dyDescent="0.25">
      <c r="A503" s="4" t="s">
        <v>248</v>
      </c>
      <c r="B503" s="4" t="s">
        <v>29</v>
      </c>
      <c r="C503" s="4">
        <v>25</v>
      </c>
      <c r="D503" s="26">
        <v>473936</v>
      </c>
      <c r="E503" s="6" t="str">
        <f t="shared" si="7"/>
        <v>Low</v>
      </c>
    </row>
    <row r="504" spans="1:5" x14ac:dyDescent="0.25">
      <c r="A504" s="4" t="s">
        <v>776</v>
      </c>
      <c r="B504" s="4" t="s">
        <v>122</v>
      </c>
      <c r="C504" s="4">
        <v>20</v>
      </c>
      <c r="D504" s="26">
        <v>461784</v>
      </c>
      <c r="E504" s="6" t="str">
        <f t="shared" si="7"/>
        <v>Low</v>
      </c>
    </row>
    <row r="505" spans="1:5" x14ac:dyDescent="0.25">
      <c r="A505" s="4" t="s">
        <v>422</v>
      </c>
      <c r="B505" s="4" t="s">
        <v>60</v>
      </c>
      <c r="C505" s="4">
        <v>21</v>
      </c>
      <c r="D505" s="26">
        <v>449632</v>
      </c>
      <c r="E505" s="6" t="str">
        <f t="shared" si="7"/>
        <v>Low</v>
      </c>
    </row>
    <row r="506" spans="1:5" x14ac:dyDescent="0.25">
      <c r="A506" s="4" t="s">
        <v>609</v>
      </c>
      <c r="B506" s="4" t="s">
        <v>29</v>
      </c>
      <c r="C506" s="4">
        <v>25</v>
      </c>
      <c r="D506" s="26">
        <v>437480</v>
      </c>
      <c r="E506" s="6" t="str">
        <f t="shared" si="7"/>
        <v>Low</v>
      </c>
    </row>
    <row r="507" spans="1:5" x14ac:dyDescent="0.25">
      <c r="A507" s="4" t="s">
        <v>763</v>
      </c>
      <c r="B507" s="4" t="s">
        <v>55</v>
      </c>
      <c r="C507" s="4">
        <v>37</v>
      </c>
      <c r="D507" s="26">
        <v>425327</v>
      </c>
      <c r="E507" s="6" t="str">
        <f t="shared" si="7"/>
        <v>Low</v>
      </c>
    </row>
    <row r="508" spans="1:5" x14ac:dyDescent="0.25">
      <c r="A508" s="4" t="s">
        <v>595</v>
      </c>
      <c r="B508" s="4" t="s">
        <v>596</v>
      </c>
      <c r="C508" s="4">
        <v>19</v>
      </c>
      <c r="D508" s="26">
        <v>413175</v>
      </c>
      <c r="E508" s="6" t="str">
        <f t="shared" si="7"/>
        <v>Low</v>
      </c>
    </row>
    <row r="509" spans="1:5" x14ac:dyDescent="0.25">
      <c r="A509" s="4" t="s">
        <v>180</v>
      </c>
      <c r="B509" s="4" t="s">
        <v>127</v>
      </c>
      <c r="C509" s="4">
        <v>29</v>
      </c>
      <c r="D509" s="26">
        <v>413175</v>
      </c>
      <c r="E509" s="6" t="str">
        <f t="shared" si="7"/>
        <v>Low</v>
      </c>
    </row>
    <row r="510" spans="1:5" x14ac:dyDescent="0.25">
      <c r="A510" s="4" t="s">
        <v>538</v>
      </c>
      <c r="B510" s="4" t="s">
        <v>41</v>
      </c>
      <c r="C510" s="4">
        <v>23</v>
      </c>
      <c r="D510" s="26">
        <v>388871</v>
      </c>
      <c r="E510" s="6" t="str">
        <f t="shared" si="7"/>
        <v>Low</v>
      </c>
    </row>
    <row r="511" spans="1:5" x14ac:dyDescent="0.25">
      <c r="A511" s="4" t="s">
        <v>749</v>
      </c>
      <c r="B511" s="4" t="s">
        <v>287</v>
      </c>
      <c r="C511" s="4">
        <v>29</v>
      </c>
      <c r="D511" s="26">
        <v>388871</v>
      </c>
      <c r="E511" s="6" t="str">
        <f t="shared" si="7"/>
        <v>Low</v>
      </c>
    </row>
    <row r="512" spans="1:5" x14ac:dyDescent="0.25">
      <c r="A512" s="4" t="s">
        <v>54</v>
      </c>
      <c r="B512" s="4" t="s">
        <v>55</v>
      </c>
      <c r="C512" s="4">
        <v>22</v>
      </c>
      <c r="D512" s="26">
        <v>376719</v>
      </c>
      <c r="E512" s="6" t="str">
        <f t="shared" si="7"/>
        <v>Low</v>
      </c>
    </row>
    <row r="513" spans="1:5" x14ac:dyDescent="0.25">
      <c r="A513" s="4" t="s">
        <v>565</v>
      </c>
      <c r="B513" s="4" t="s">
        <v>60</v>
      </c>
      <c r="C513" s="4">
        <v>19</v>
      </c>
      <c r="D513" s="26">
        <v>364566</v>
      </c>
      <c r="E513" s="6" t="str">
        <f t="shared" si="7"/>
        <v>Low</v>
      </c>
    </row>
    <row r="514" spans="1:5" x14ac:dyDescent="0.25">
      <c r="A514" s="4" t="s">
        <v>80</v>
      </c>
      <c r="B514" s="4" t="s">
        <v>29</v>
      </c>
      <c r="C514" s="4">
        <v>34</v>
      </c>
      <c r="D514" s="26">
        <v>364566</v>
      </c>
      <c r="E514" s="6" t="str">
        <f t="shared" si="7"/>
        <v>Low</v>
      </c>
    </row>
    <row r="515" spans="1:5" x14ac:dyDescent="0.25">
      <c r="A515" s="4" t="s">
        <v>780</v>
      </c>
      <c r="B515" s="4" t="s">
        <v>29</v>
      </c>
      <c r="C515" s="4">
        <v>27</v>
      </c>
      <c r="D515" s="26">
        <v>364566</v>
      </c>
      <c r="E515" s="6" t="str">
        <f t="shared" ref="E515:E555" si="8">VLOOKUP(D515,$G$14:$I$18,3,1)</f>
        <v>Low</v>
      </c>
    </row>
    <row r="516" spans="1:5" x14ac:dyDescent="0.25">
      <c r="A516" s="4" t="s">
        <v>768</v>
      </c>
      <c r="B516" s="4" t="s">
        <v>29</v>
      </c>
      <c r="C516" s="4">
        <v>27</v>
      </c>
      <c r="D516" s="26">
        <v>340262</v>
      </c>
      <c r="E516" s="6" t="str">
        <f t="shared" si="8"/>
        <v>Low</v>
      </c>
    </row>
    <row r="517" spans="1:5" x14ac:dyDescent="0.25">
      <c r="A517" s="4" t="s">
        <v>420</v>
      </c>
      <c r="B517" s="4" t="s">
        <v>52</v>
      </c>
      <c r="C517" s="4">
        <v>18</v>
      </c>
      <c r="D517" s="26">
        <v>340262</v>
      </c>
      <c r="E517" s="6" t="str">
        <f t="shared" si="8"/>
        <v>Low</v>
      </c>
    </row>
    <row r="518" spans="1:5" x14ac:dyDescent="0.25">
      <c r="A518" s="4" t="s">
        <v>511</v>
      </c>
      <c r="B518" s="4" t="s">
        <v>55</v>
      </c>
      <c r="C518" s="4">
        <v>20</v>
      </c>
      <c r="D518" s="26">
        <v>315958</v>
      </c>
      <c r="E518" s="6" t="str">
        <f t="shared" si="8"/>
        <v>Low</v>
      </c>
    </row>
    <row r="519" spans="1:5" x14ac:dyDescent="0.25">
      <c r="A519" s="4" t="s">
        <v>853</v>
      </c>
      <c r="B519" s="4" t="s">
        <v>162</v>
      </c>
      <c r="C519" s="4">
        <v>21</v>
      </c>
      <c r="D519" s="26">
        <v>315958</v>
      </c>
      <c r="E519" s="6" t="str">
        <f t="shared" si="8"/>
        <v>Low</v>
      </c>
    </row>
    <row r="520" spans="1:5" x14ac:dyDescent="0.25">
      <c r="A520" s="4" t="s">
        <v>311</v>
      </c>
      <c r="B520" s="4" t="s">
        <v>29</v>
      </c>
      <c r="C520" s="4">
        <v>18</v>
      </c>
      <c r="D520" s="26">
        <v>315958</v>
      </c>
      <c r="E520" s="6" t="str">
        <f t="shared" si="8"/>
        <v>Low</v>
      </c>
    </row>
    <row r="521" spans="1:5" x14ac:dyDescent="0.25">
      <c r="A521" s="4" t="s">
        <v>338</v>
      </c>
      <c r="B521" s="4" t="s">
        <v>29</v>
      </c>
      <c r="C521" s="4">
        <v>21</v>
      </c>
      <c r="D521" s="26">
        <v>315958</v>
      </c>
      <c r="E521" s="6" t="str">
        <f t="shared" si="8"/>
        <v>Low</v>
      </c>
    </row>
    <row r="522" spans="1:5" x14ac:dyDescent="0.25">
      <c r="A522" s="4" t="s">
        <v>854</v>
      </c>
      <c r="B522" s="4" t="s">
        <v>67</v>
      </c>
      <c r="C522" s="4">
        <v>22</v>
      </c>
      <c r="D522" s="26">
        <v>315958</v>
      </c>
      <c r="E522" s="6" t="str">
        <f t="shared" si="8"/>
        <v>Low</v>
      </c>
    </row>
    <row r="523" spans="1:5" x14ac:dyDescent="0.25">
      <c r="A523" s="4" t="s">
        <v>387</v>
      </c>
      <c r="B523" s="4" t="s">
        <v>67</v>
      </c>
      <c r="C523" s="4">
        <v>22</v>
      </c>
      <c r="D523" s="26">
        <v>315958</v>
      </c>
      <c r="E523" s="6" t="str">
        <f t="shared" si="8"/>
        <v>Low</v>
      </c>
    </row>
    <row r="524" spans="1:5" x14ac:dyDescent="0.25">
      <c r="A524" s="4" t="s">
        <v>495</v>
      </c>
      <c r="B524" s="4" t="s">
        <v>496</v>
      </c>
      <c r="C524" s="4">
        <v>22</v>
      </c>
      <c r="D524" s="26">
        <v>315958</v>
      </c>
      <c r="E524" s="6" t="str">
        <f t="shared" si="8"/>
        <v>Low</v>
      </c>
    </row>
    <row r="525" spans="1:5" x14ac:dyDescent="0.25">
      <c r="A525" s="4" t="s">
        <v>790</v>
      </c>
      <c r="B525" s="4" t="s">
        <v>29</v>
      </c>
      <c r="C525" s="4">
        <v>18</v>
      </c>
      <c r="D525" s="26">
        <v>315958</v>
      </c>
      <c r="E525" s="6" t="str">
        <f t="shared" si="8"/>
        <v>Low</v>
      </c>
    </row>
    <row r="526" spans="1:5" x14ac:dyDescent="0.25">
      <c r="A526" s="4" t="s">
        <v>232</v>
      </c>
      <c r="B526" s="4" t="s">
        <v>124</v>
      </c>
      <c r="C526" s="4">
        <v>25</v>
      </c>
      <c r="D526" s="26">
        <v>315958</v>
      </c>
      <c r="E526" s="6" t="str">
        <f t="shared" si="8"/>
        <v>Low</v>
      </c>
    </row>
    <row r="527" spans="1:5" x14ac:dyDescent="0.25">
      <c r="A527" s="4" t="s">
        <v>855</v>
      </c>
      <c r="B527" s="4" t="s">
        <v>156</v>
      </c>
      <c r="C527" s="4">
        <v>23</v>
      </c>
      <c r="D527" s="26">
        <v>303805</v>
      </c>
      <c r="E527" s="6" t="str">
        <f t="shared" si="8"/>
        <v>Low</v>
      </c>
    </row>
    <row r="528" spans="1:5" x14ac:dyDescent="0.25">
      <c r="A528" s="4" t="s">
        <v>373</v>
      </c>
      <c r="B528" s="4" t="s">
        <v>29</v>
      </c>
      <c r="C528" s="4">
        <v>25</v>
      </c>
      <c r="D528" s="26">
        <v>279501</v>
      </c>
      <c r="E528" s="6" t="str">
        <f t="shared" si="8"/>
        <v>Low</v>
      </c>
    </row>
    <row r="529" spans="1:5" x14ac:dyDescent="0.25">
      <c r="A529" s="4" t="s">
        <v>110</v>
      </c>
      <c r="B529" s="4" t="s">
        <v>17</v>
      </c>
      <c r="C529" s="4">
        <v>20</v>
      </c>
      <c r="D529" s="26">
        <v>279501</v>
      </c>
      <c r="E529" s="6" t="str">
        <f t="shared" si="8"/>
        <v>Low</v>
      </c>
    </row>
    <row r="530" spans="1:5" x14ac:dyDescent="0.25">
      <c r="A530" s="4" t="s">
        <v>138</v>
      </c>
      <c r="B530" s="4" t="s">
        <v>67</v>
      </c>
      <c r="C530" s="4">
        <v>22</v>
      </c>
      <c r="D530" s="26">
        <v>255196</v>
      </c>
      <c r="E530" s="6" t="str">
        <f t="shared" si="8"/>
        <v>Low</v>
      </c>
    </row>
    <row r="531" spans="1:5" x14ac:dyDescent="0.25">
      <c r="A531" s="4" t="s">
        <v>550</v>
      </c>
      <c r="B531" s="4" t="s">
        <v>52</v>
      </c>
      <c r="C531" s="4">
        <v>22</v>
      </c>
      <c r="D531" s="26">
        <v>218740</v>
      </c>
      <c r="E531" s="6" t="str">
        <f t="shared" si="8"/>
        <v>Low</v>
      </c>
    </row>
    <row r="532" spans="1:5" x14ac:dyDescent="0.25">
      <c r="A532" s="4" t="s">
        <v>430</v>
      </c>
      <c r="B532" s="4" t="s">
        <v>29</v>
      </c>
      <c r="C532" s="4">
        <v>21</v>
      </c>
      <c r="D532" s="26">
        <v>218740</v>
      </c>
      <c r="E532" s="6" t="str">
        <f t="shared" si="8"/>
        <v>Low</v>
      </c>
    </row>
    <row r="533" spans="1:5" x14ac:dyDescent="0.25">
      <c r="A533" s="4" t="s">
        <v>155</v>
      </c>
      <c r="B533" s="4" t="s">
        <v>156</v>
      </c>
      <c r="C533" s="4">
        <v>19</v>
      </c>
      <c r="D533" s="26">
        <v>218740</v>
      </c>
      <c r="E533" s="6" t="str">
        <f t="shared" si="8"/>
        <v>Low</v>
      </c>
    </row>
    <row r="534" spans="1:5" x14ac:dyDescent="0.25">
      <c r="A534" s="4" t="s">
        <v>22</v>
      </c>
      <c r="B534" s="4" t="s">
        <v>23</v>
      </c>
      <c r="C534" s="4">
        <v>27</v>
      </c>
      <c r="D534" s="26">
        <v>206588</v>
      </c>
      <c r="E534" s="6" t="str">
        <f t="shared" si="8"/>
        <v>Low</v>
      </c>
    </row>
    <row r="535" spans="1:5" x14ac:dyDescent="0.25">
      <c r="A535" s="4" t="s">
        <v>856</v>
      </c>
      <c r="B535" s="4" t="s">
        <v>29</v>
      </c>
      <c r="C535" s="4">
        <v>22</v>
      </c>
      <c r="D535" s="26">
        <v>206588</v>
      </c>
      <c r="E535" s="6" t="str">
        <f t="shared" si="8"/>
        <v>Low</v>
      </c>
    </row>
    <row r="536" spans="1:5" x14ac:dyDescent="0.25">
      <c r="A536" s="4" t="s">
        <v>380</v>
      </c>
      <c r="B536" s="4" t="s">
        <v>29</v>
      </c>
      <c r="C536" s="4">
        <v>22</v>
      </c>
      <c r="D536" s="26">
        <v>194435</v>
      </c>
      <c r="E536" s="6" t="str">
        <f t="shared" si="8"/>
        <v>Low</v>
      </c>
    </row>
    <row r="537" spans="1:5" x14ac:dyDescent="0.25">
      <c r="A537" s="4" t="s">
        <v>857</v>
      </c>
      <c r="B537" s="4" t="s">
        <v>185</v>
      </c>
      <c r="C537" s="4">
        <v>20</v>
      </c>
      <c r="D537" s="26">
        <v>194435</v>
      </c>
      <c r="E537" s="6" t="str">
        <f t="shared" si="8"/>
        <v>Low</v>
      </c>
    </row>
    <row r="538" spans="1:5" x14ac:dyDescent="0.25">
      <c r="A538" s="4" t="s">
        <v>246</v>
      </c>
      <c r="B538" s="4" t="s">
        <v>83</v>
      </c>
      <c r="C538" s="4">
        <v>22</v>
      </c>
      <c r="D538" s="26">
        <v>170131</v>
      </c>
      <c r="E538" s="6" t="str">
        <f t="shared" si="8"/>
        <v>Low</v>
      </c>
    </row>
    <row r="539" spans="1:5" x14ac:dyDescent="0.25">
      <c r="A539" s="4" t="s">
        <v>359</v>
      </c>
      <c r="B539" s="4" t="s">
        <v>29</v>
      </c>
      <c r="C539" s="4">
        <v>20</v>
      </c>
      <c r="D539" s="26">
        <v>157979</v>
      </c>
      <c r="E539" s="6" t="str">
        <f t="shared" si="8"/>
        <v>Low</v>
      </c>
    </row>
    <row r="540" spans="1:5" x14ac:dyDescent="0.25">
      <c r="A540" s="4" t="s">
        <v>350</v>
      </c>
      <c r="B540" s="4" t="s">
        <v>29</v>
      </c>
      <c r="C540" s="4">
        <v>19</v>
      </c>
      <c r="D540" s="26">
        <v>145827</v>
      </c>
      <c r="E540" s="6" t="str">
        <f t="shared" si="8"/>
        <v>Low</v>
      </c>
    </row>
    <row r="541" spans="1:5" x14ac:dyDescent="0.25">
      <c r="A541" s="4" t="s">
        <v>858</v>
      </c>
      <c r="B541" s="4" t="s">
        <v>619</v>
      </c>
      <c r="C541" s="4">
        <v>19</v>
      </c>
      <c r="D541" s="26">
        <v>145827</v>
      </c>
      <c r="E541" s="6" t="str">
        <f t="shared" si="8"/>
        <v>Low</v>
      </c>
    </row>
    <row r="542" spans="1:5" x14ac:dyDescent="0.25">
      <c r="A542" s="4" t="s">
        <v>187</v>
      </c>
      <c r="B542" s="4" t="s">
        <v>29</v>
      </c>
      <c r="C542" s="4">
        <v>18</v>
      </c>
      <c r="D542" s="26">
        <v>133674</v>
      </c>
      <c r="E542" s="6" t="str">
        <f t="shared" si="8"/>
        <v>Low</v>
      </c>
    </row>
    <row r="543" spans="1:5" x14ac:dyDescent="0.25">
      <c r="A543" s="4" t="s">
        <v>859</v>
      </c>
      <c r="B543" s="4" t="s">
        <v>122</v>
      </c>
      <c r="C543" s="4">
        <v>18</v>
      </c>
      <c r="D543" s="26">
        <v>121522</v>
      </c>
      <c r="E543" s="6" t="str">
        <f t="shared" si="8"/>
        <v>Low</v>
      </c>
    </row>
    <row r="544" spans="1:5" x14ac:dyDescent="0.25">
      <c r="A544" s="4" t="s">
        <v>442</v>
      </c>
      <c r="B544" s="4" t="s">
        <v>17</v>
      </c>
      <c r="C544" s="4">
        <v>22</v>
      </c>
      <c r="D544" s="26">
        <v>121522</v>
      </c>
      <c r="E544" s="6" t="str">
        <f t="shared" si="8"/>
        <v>Low</v>
      </c>
    </row>
    <row r="545" spans="1:5" x14ac:dyDescent="0.25">
      <c r="A545" s="4" t="s">
        <v>66</v>
      </c>
      <c r="B545" s="4" t="s">
        <v>67</v>
      </c>
      <c r="C545" s="4">
        <v>32</v>
      </c>
      <c r="D545" s="26">
        <v>109370</v>
      </c>
      <c r="E545" s="6" t="str">
        <f t="shared" si="8"/>
        <v>Low</v>
      </c>
    </row>
    <row r="546" spans="1:5" x14ac:dyDescent="0.25">
      <c r="A546" s="4" t="s">
        <v>785</v>
      </c>
      <c r="B546" s="4" t="s">
        <v>29</v>
      </c>
      <c r="C546" s="4">
        <v>19</v>
      </c>
      <c r="D546" s="26">
        <v>97218</v>
      </c>
      <c r="E546" s="6" t="str">
        <f t="shared" si="8"/>
        <v>Low</v>
      </c>
    </row>
    <row r="547" spans="1:5" x14ac:dyDescent="0.25">
      <c r="A547" s="4" t="s">
        <v>689</v>
      </c>
      <c r="B547" s="4" t="s">
        <v>29</v>
      </c>
      <c r="C547" s="4">
        <v>22</v>
      </c>
      <c r="D547" s="26">
        <v>97218</v>
      </c>
      <c r="E547" s="6" t="str">
        <f t="shared" si="8"/>
        <v>Low</v>
      </c>
    </row>
    <row r="548" spans="1:5" x14ac:dyDescent="0.25">
      <c r="A548" s="4" t="s">
        <v>405</v>
      </c>
      <c r="B548" s="4" t="s">
        <v>29</v>
      </c>
      <c r="C548" s="4">
        <v>21</v>
      </c>
      <c r="D548" s="26">
        <v>97218</v>
      </c>
      <c r="E548" s="6" t="str">
        <f t="shared" si="8"/>
        <v>Low</v>
      </c>
    </row>
    <row r="549" spans="1:5" x14ac:dyDescent="0.25">
      <c r="A549" s="4" t="s">
        <v>484</v>
      </c>
      <c r="B549" s="4" t="s">
        <v>29</v>
      </c>
      <c r="C549" s="4">
        <v>17</v>
      </c>
      <c r="D549" s="26">
        <v>97218</v>
      </c>
      <c r="E549" s="6" t="str">
        <f t="shared" si="8"/>
        <v>Low</v>
      </c>
    </row>
    <row r="550" spans="1:5" x14ac:dyDescent="0.25">
      <c r="A550" s="4" t="s">
        <v>504</v>
      </c>
      <c r="B550" s="4" t="s">
        <v>29</v>
      </c>
      <c r="C550" s="4">
        <v>19</v>
      </c>
      <c r="D550" s="26">
        <v>85065</v>
      </c>
      <c r="E550" s="6" t="str">
        <f t="shared" si="8"/>
        <v>Low</v>
      </c>
    </row>
    <row r="551" spans="1:5" x14ac:dyDescent="0.25">
      <c r="A551" s="4" t="s">
        <v>692</v>
      </c>
      <c r="B551" s="4" t="s">
        <v>29</v>
      </c>
      <c r="C551" s="4">
        <v>18</v>
      </c>
      <c r="D551" s="26">
        <v>60761</v>
      </c>
      <c r="E551" s="6" t="str">
        <f t="shared" si="8"/>
        <v>Low</v>
      </c>
    </row>
    <row r="552" spans="1:5" x14ac:dyDescent="0.25">
      <c r="A552" s="4" t="s">
        <v>315</v>
      </c>
      <c r="B552" s="4" t="s">
        <v>29</v>
      </c>
      <c r="C552" s="4">
        <v>23</v>
      </c>
      <c r="D552" s="26">
        <v>60761</v>
      </c>
      <c r="E552" s="6" t="str">
        <f t="shared" si="8"/>
        <v>Low</v>
      </c>
    </row>
    <row r="553" spans="1:5" x14ac:dyDescent="0.25">
      <c r="A553" s="4" t="s">
        <v>860</v>
      </c>
      <c r="C553" s="4">
        <v>18</v>
      </c>
      <c r="D553" s="26">
        <v>48609</v>
      </c>
      <c r="E553" s="6" t="str">
        <f t="shared" si="8"/>
        <v>Low</v>
      </c>
    </row>
    <row r="554" spans="1:5" x14ac:dyDescent="0.25">
      <c r="A554" s="4" t="s">
        <v>635</v>
      </c>
      <c r="B554" s="4" t="s">
        <v>127</v>
      </c>
      <c r="C554" s="4">
        <v>20</v>
      </c>
      <c r="D554" s="26">
        <v>48609</v>
      </c>
      <c r="E554" s="6" t="str">
        <f t="shared" si="8"/>
        <v>Low</v>
      </c>
    </row>
    <row r="555" spans="1:5" x14ac:dyDescent="0.25">
      <c r="A555" s="4" t="s">
        <v>806</v>
      </c>
      <c r="B555" s="4" t="s">
        <v>29</v>
      </c>
      <c r="C555" s="4">
        <v>16</v>
      </c>
      <c r="D555" s="26">
        <v>24304</v>
      </c>
      <c r="E555" s="6" t="str">
        <f t="shared" si="8"/>
        <v>Low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GK</vt:lpstr>
      <vt:lpstr>Def</vt:lpstr>
      <vt:lpstr>Mid</vt:lpstr>
      <vt:lpstr>Attack</vt:lpstr>
      <vt:lpstr>Subs</vt:lpstr>
      <vt:lpstr>Wage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Microsoft Office User</cp:lastModifiedBy>
  <dcterms:created xsi:type="dcterms:W3CDTF">2022-09-11T08:06:59Z</dcterms:created>
  <dcterms:modified xsi:type="dcterms:W3CDTF">2022-09-11T08:14:35Z</dcterms:modified>
</cp:coreProperties>
</file>